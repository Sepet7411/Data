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aptop\Downloads\Тестове Power BI\"/>
    </mc:Choice>
  </mc:AlternateContent>
  <xr:revisionPtr revIDLastSave="0" documentId="13_ncr:1_{5D799068-BDD9-4112-A331-A34EA5E46A3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План продажів, виручка грн" sheetId="1" r:id="rId1"/>
    <sheet name="План собівартість, грн" sheetId="2" r:id="rId2"/>
    <sheet name="План продажів, виручка грн (2)" sheetId="4" r:id="rId3"/>
    <sheet name="Аркуш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6" i="2" l="1"/>
  <c r="Q16" i="2"/>
  <c r="AL16" i="2"/>
  <c r="AJ16" i="2"/>
  <c r="AF16" i="2"/>
  <c r="AB16" i="2"/>
  <c r="T16" i="2"/>
  <c r="P16" i="2"/>
  <c r="L16" i="2"/>
  <c r="AD16" i="2"/>
  <c r="Z16" i="2"/>
  <c r="V16" i="2"/>
  <c r="C17" i="2"/>
  <c r="N16" i="2"/>
  <c r="J16" i="2"/>
  <c r="B17" i="2"/>
  <c r="AN16" i="2"/>
  <c r="AK16" i="2"/>
  <c r="AH16" i="2"/>
  <c r="AC16" i="2"/>
  <c r="Y16" i="2"/>
  <c r="X16" i="2"/>
  <c r="U16" i="2"/>
  <c r="R16" i="2"/>
  <c r="M16" i="2"/>
  <c r="I16" i="2"/>
  <c r="H16" i="2"/>
  <c r="E16" i="2"/>
  <c r="AG13" i="2"/>
  <c r="D15" i="2"/>
  <c r="Y13" i="2"/>
  <c r="Q13" i="2"/>
  <c r="M13" i="2"/>
  <c r="I13" i="2"/>
  <c r="B15" i="2"/>
  <c r="AN13" i="2"/>
  <c r="AN4" i="2" s="1"/>
  <c r="AM13" i="2"/>
  <c r="AJ13" i="2"/>
  <c r="AI13" i="2"/>
  <c r="AF13" i="2"/>
  <c r="D14" i="2"/>
  <c r="AB13" i="2"/>
  <c r="AA13" i="2"/>
  <c r="X13" i="2"/>
  <c r="W13" i="2"/>
  <c r="T13" i="2"/>
  <c r="S13" i="2"/>
  <c r="P13" i="2"/>
  <c r="L13" i="2"/>
  <c r="K13" i="2"/>
  <c r="H13" i="2"/>
  <c r="B14" i="2"/>
  <c r="B13" i="2" s="1"/>
  <c r="C14" i="2"/>
  <c r="AL13" i="2"/>
  <c r="AK13" i="2"/>
  <c r="AH13" i="2"/>
  <c r="AE13" i="2"/>
  <c r="AD13" i="2"/>
  <c r="Z13" i="2"/>
  <c r="V13" i="2"/>
  <c r="U13" i="2"/>
  <c r="R13" i="2"/>
  <c r="O13" i="2"/>
  <c r="N13" i="2"/>
  <c r="J13" i="2"/>
  <c r="F13" i="2"/>
  <c r="E13" i="2"/>
  <c r="D12" i="2"/>
  <c r="B12" i="2"/>
  <c r="AC5" i="2"/>
  <c r="C11" i="2"/>
  <c r="M5" i="2"/>
  <c r="B11" i="2"/>
  <c r="AM5" i="2"/>
  <c r="D10" i="2"/>
  <c r="W5" i="2"/>
  <c r="G5" i="2"/>
  <c r="C10" i="2"/>
  <c r="AH5" i="2"/>
  <c r="AD5" i="2"/>
  <c r="R5" i="2"/>
  <c r="N5" i="2"/>
  <c r="B9" i="2"/>
  <c r="AK5" i="2"/>
  <c r="AK4" i="2" s="1"/>
  <c r="Y5" i="2"/>
  <c r="Y4" i="2" s="1"/>
  <c r="U5" i="2"/>
  <c r="I5" i="2"/>
  <c r="I4" i="2" s="1"/>
  <c r="B8" i="2"/>
  <c r="D8" i="2"/>
  <c r="AI5" i="2"/>
  <c r="AE5" i="2"/>
  <c r="S5" i="2"/>
  <c r="O5" i="2"/>
  <c r="C7" i="2"/>
  <c r="AN5" i="2"/>
  <c r="AJ5" i="2"/>
  <c r="AF5" i="2"/>
  <c r="AF4" i="2" s="1"/>
  <c r="AB5" i="2"/>
  <c r="Z5" i="2"/>
  <c r="Z4" i="2" s="1"/>
  <c r="X5" i="2"/>
  <c r="X4" i="2" s="1"/>
  <c r="T5" i="2"/>
  <c r="C6" i="2"/>
  <c r="P5" i="2"/>
  <c r="L5" i="2"/>
  <c r="J5" i="2"/>
  <c r="J4" i="2" s="1"/>
  <c r="H5" i="2"/>
  <c r="D6" i="2"/>
  <c r="AL5" i="2"/>
  <c r="AG5" i="2"/>
  <c r="AG4" i="2" s="1"/>
  <c r="AA5" i="2"/>
  <c r="V5" i="2"/>
  <c r="Q5" i="2"/>
  <c r="K5" i="2"/>
  <c r="F5" i="2"/>
  <c r="AK16" i="1"/>
  <c r="AG16" i="1"/>
  <c r="Y16" i="1"/>
  <c r="Y4" i="1" s="1"/>
  <c r="U16" i="1"/>
  <c r="Q16" i="1"/>
  <c r="I16" i="1"/>
  <c r="AF16" i="1"/>
  <c r="AB16" i="1"/>
  <c r="P16" i="1"/>
  <c r="L16" i="1"/>
  <c r="AL16" i="1"/>
  <c r="AD16" i="1"/>
  <c r="Z16" i="1"/>
  <c r="V16" i="1"/>
  <c r="C17" i="1"/>
  <c r="N16" i="1"/>
  <c r="J16" i="1"/>
  <c r="B17" i="1"/>
  <c r="AN16" i="1"/>
  <c r="AJ16" i="1"/>
  <c r="AH16" i="1"/>
  <c r="AC16" i="1"/>
  <c r="X16" i="1"/>
  <c r="T16" i="1"/>
  <c r="R16" i="1"/>
  <c r="M16" i="1"/>
  <c r="H16" i="1"/>
  <c r="AG13" i="1"/>
  <c r="D15" i="1"/>
  <c r="Y13" i="1"/>
  <c r="Q13" i="1"/>
  <c r="M13" i="1"/>
  <c r="I13" i="1"/>
  <c r="B15" i="1"/>
  <c r="AN13" i="1"/>
  <c r="AM13" i="1"/>
  <c r="AJ13" i="1"/>
  <c r="AI13" i="1"/>
  <c r="AF13" i="1"/>
  <c r="D14" i="1"/>
  <c r="AB13" i="1"/>
  <c r="AA13" i="1"/>
  <c r="X13" i="1"/>
  <c r="W13" i="1"/>
  <c r="T13" i="1"/>
  <c r="S13" i="1"/>
  <c r="P13" i="1"/>
  <c r="O13" i="1"/>
  <c r="L13" i="1"/>
  <c r="K13" i="1"/>
  <c r="H13" i="1"/>
  <c r="B14" i="1"/>
  <c r="B13" i="1" s="1"/>
  <c r="C14" i="1"/>
  <c r="AL13" i="1"/>
  <c r="AK13" i="1"/>
  <c r="AH13" i="1"/>
  <c r="AE13" i="1"/>
  <c r="AD13" i="1"/>
  <c r="Z13" i="1"/>
  <c r="V13" i="1"/>
  <c r="U13" i="1"/>
  <c r="R13" i="1"/>
  <c r="N13" i="1"/>
  <c r="J13" i="1"/>
  <c r="F13" i="1"/>
  <c r="E13" i="1"/>
  <c r="D12" i="1"/>
  <c r="B12" i="1"/>
  <c r="AC5" i="1"/>
  <c r="Y5" i="1"/>
  <c r="C11" i="1"/>
  <c r="M5" i="1"/>
  <c r="M4" i="1" s="1"/>
  <c r="I5" i="1"/>
  <c r="I4" i="1" s="1"/>
  <c r="B11" i="1"/>
  <c r="AM5" i="1"/>
  <c r="AI5" i="1"/>
  <c r="D10" i="1"/>
  <c r="W5" i="1"/>
  <c r="S5" i="1"/>
  <c r="G5" i="1"/>
  <c r="C10" i="1"/>
  <c r="AH5" i="1"/>
  <c r="AD5" i="1"/>
  <c r="R5" i="1"/>
  <c r="N5" i="1"/>
  <c r="B9" i="1"/>
  <c r="AK5" i="1"/>
  <c r="U5" i="1"/>
  <c r="B8" i="1"/>
  <c r="D8" i="1"/>
  <c r="AE5" i="1"/>
  <c r="O5" i="1"/>
  <c r="C7" i="1"/>
  <c r="AN5" i="1"/>
  <c r="AJ5" i="1"/>
  <c r="AF5" i="1"/>
  <c r="AB5" i="1"/>
  <c r="Z5" i="1"/>
  <c r="X5" i="1"/>
  <c r="X4" i="1" s="1"/>
  <c r="T5" i="1"/>
  <c r="C6" i="1"/>
  <c r="P5" i="1"/>
  <c r="L5" i="1"/>
  <c r="J5" i="1"/>
  <c r="H5" i="1"/>
  <c r="D6" i="1"/>
  <c r="AL5" i="1"/>
  <c r="AG5" i="1"/>
  <c r="AA5" i="1"/>
  <c r="V5" i="1"/>
  <c r="Q5" i="1"/>
  <c r="Q4" i="1" s="1"/>
  <c r="K5" i="1"/>
  <c r="F5" i="1"/>
  <c r="R4" i="2" l="1"/>
  <c r="AJ4" i="2"/>
  <c r="T4" i="2"/>
  <c r="H4" i="2"/>
  <c r="D13" i="2"/>
  <c r="AL4" i="1"/>
  <c r="T4" i="1"/>
  <c r="J4" i="1"/>
  <c r="U4" i="1"/>
  <c r="R4" i="1"/>
  <c r="D13" i="1"/>
  <c r="AL4" i="2"/>
  <c r="P4" i="2"/>
  <c r="AH4" i="2"/>
  <c r="L4" i="2"/>
  <c r="M4" i="2"/>
  <c r="AB4" i="2"/>
  <c r="U4" i="2"/>
  <c r="AJ4" i="1"/>
  <c r="V4" i="1"/>
  <c r="Z4" i="1"/>
  <c r="AN4" i="1"/>
  <c r="AH4" i="1"/>
  <c r="B16" i="1"/>
  <c r="AK4" i="1"/>
  <c r="H4" i="1"/>
  <c r="Q4" i="2"/>
  <c r="AD4" i="2"/>
  <c r="V4" i="2"/>
  <c r="N4" i="2"/>
  <c r="L4" i="1"/>
  <c r="P4" i="1"/>
  <c r="AB4" i="1"/>
  <c r="AF4" i="1"/>
  <c r="N4" i="1"/>
  <c r="AD4" i="1"/>
  <c r="AG4" i="1"/>
  <c r="B6" i="1"/>
  <c r="D7" i="1"/>
  <c r="C9" i="1"/>
  <c r="C12" i="1"/>
  <c r="G13" i="1"/>
  <c r="AC13" i="1"/>
  <c r="AC4" i="1" s="1"/>
  <c r="C15" i="1"/>
  <c r="C13" i="1" s="1"/>
  <c r="E16" i="1"/>
  <c r="C16" i="1"/>
  <c r="B6" i="2"/>
  <c r="D7" i="2"/>
  <c r="C9" i="2"/>
  <c r="C12" i="2"/>
  <c r="G13" i="2"/>
  <c r="AC13" i="2"/>
  <c r="AC4" i="2" s="1"/>
  <c r="C15" i="2"/>
  <c r="C13" i="2" s="1"/>
  <c r="C16" i="2"/>
  <c r="B16" i="2"/>
  <c r="E5" i="1"/>
  <c r="E4" i="1" s="1"/>
  <c r="B7" i="1"/>
  <c r="D9" i="1"/>
  <c r="B10" i="1"/>
  <c r="D11" i="1"/>
  <c r="F16" i="1"/>
  <c r="F4" i="1" s="1"/>
  <c r="D17" i="1"/>
  <c r="D16" i="1" s="1"/>
  <c r="E5" i="2"/>
  <c r="E4" i="2" s="1"/>
  <c r="B7" i="2"/>
  <c r="D9" i="2"/>
  <c r="B10" i="2"/>
  <c r="D11" i="2"/>
  <c r="F16" i="2"/>
  <c r="F4" i="2" s="1"/>
  <c r="D17" i="2"/>
  <c r="C8" i="1"/>
  <c r="G16" i="1"/>
  <c r="K16" i="1"/>
  <c r="K4" i="1" s="1"/>
  <c r="O16" i="1"/>
  <c r="O4" i="1" s="1"/>
  <c r="S16" i="1"/>
  <c r="S4" i="1" s="1"/>
  <c r="W16" i="1"/>
  <c r="W4" i="1" s="1"/>
  <c r="AA16" i="1"/>
  <c r="AA4" i="1" s="1"/>
  <c r="AE16" i="1"/>
  <c r="AE4" i="1" s="1"/>
  <c r="AI16" i="1"/>
  <c r="AI4" i="1" s="1"/>
  <c r="AM16" i="1"/>
  <c r="AM4" i="1" s="1"/>
  <c r="C8" i="2"/>
  <c r="C5" i="2" s="1"/>
  <c r="G16" i="2"/>
  <c r="K16" i="2"/>
  <c r="K4" i="2" s="1"/>
  <c r="O16" i="2"/>
  <c r="O4" i="2" s="1"/>
  <c r="S16" i="2"/>
  <c r="S4" i="2" s="1"/>
  <c r="W16" i="2"/>
  <c r="W4" i="2" s="1"/>
  <c r="AA16" i="2"/>
  <c r="AA4" i="2" s="1"/>
  <c r="AE16" i="2"/>
  <c r="AE4" i="2" s="1"/>
  <c r="AI16" i="2"/>
  <c r="AI4" i="2" s="1"/>
  <c r="AM16" i="2"/>
  <c r="AM4" i="2" s="1"/>
  <c r="D5" i="1" l="1"/>
  <c r="D4" i="1" s="1"/>
  <c r="G4" i="2"/>
  <c r="D5" i="2"/>
  <c r="G4" i="1"/>
  <c r="C5" i="1"/>
  <c r="C4" i="1" s="1"/>
  <c r="C4" i="2"/>
  <c r="B5" i="2"/>
  <c r="B4" i="2" s="1"/>
  <c r="D16" i="2"/>
  <c r="D4" i="2" s="1"/>
  <c r="B5" i="1"/>
  <c r="B4" i="1" s="1"/>
</calcChain>
</file>

<file path=xl/sharedStrings.xml><?xml version="1.0" encoding="utf-8"?>
<sst xmlns="http://schemas.openxmlformats.org/spreadsheetml/2006/main" count="52" uniqueCount="22">
  <si>
    <t>Магазин</t>
  </si>
  <si>
    <t>Магазин №1</t>
  </si>
  <si>
    <t>Магазин №2</t>
  </si>
  <si>
    <t>Магазин №3</t>
  </si>
  <si>
    <t>Магазин №4</t>
  </si>
  <si>
    <t>Магазин №5</t>
  </si>
  <si>
    <t>Магазин №6</t>
  </si>
  <si>
    <t>Магазин №7</t>
  </si>
  <si>
    <t>Магазин №8</t>
  </si>
  <si>
    <t>Магазин №9</t>
  </si>
  <si>
    <t>Магазин №10</t>
  </si>
  <si>
    <t>ПЛАН ПРОДАЖІВ 2016-2018</t>
  </si>
  <si>
    <t>Київ</t>
  </si>
  <si>
    <t>Харків</t>
  </si>
  <si>
    <t>Дніпро</t>
  </si>
  <si>
    <t>УСЬОГО 2016</t>
  </si>
  <si>
    <t>УСЬОГО 2017</t>
  </si>
  <si>
    <t>УСЬОГО 2018</t>
  </si>
  <si>
    <t>УСЬОГО</t>
  </si>
  <si>
    <t>СОБІВАРТІСТЬ ПРОДАЖІВ 2016-2018</t>
  </si>
  <si>
    <t>ID магазину</t>
  </si>
  <si>
    <t>Виручка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</si>
</sst>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3" fontId="2" fillId="2" borderId="6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4" xfId="0" applyFont="1" applyFill="1" applyBorder="1" applyAlignment="1">
      <alignment horizontal="left" vertical="center" wrapText="1" indent="2"/>
    </xf>
    <xf numFmtId="3" fontId="2" fillId="3" borderId="5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0" fontId="0" fillId="0" borderId="7" xfId="0" applyBorder="1" applyAlignment="1">
      <alignment horizontal="left" vertical="center" wrapText="1" indent="4"/>
    </xf>
    <xf numFmtId="3" fontId="2" fillId="3" borderId="8" xfId="0" applyNumberFormat="1" applyFont="1" applyFill="1" applyBorder="1" applyAlignment="1">
      <alignment vertical="center" wrapText="1"/>
    </xf>
    <xf numFmtId="3" fontId="0" fillId="3" borderId="8" xfId="0" applyNumberFormat="1" applyFill="1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3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horizontal="left" vertical="center" wrapText="1" indent="4"/>
    </xf>
    <xf numFmtId="3" fontId="2" fillId="3" borderId="11" xfId="0" applyNumberFormat="1" applyFont="1" applyFill="1" applyBorder="1" applyAlignment="1">
      <alignment vertical="center" wrapText="1"/>
    </xf>
    <xf numFmtId="3" fontId="0" fillId="3" borderId="11" xfId="0" applyNumberFormat="1" applyFill="1" applyBorder="1" applyAlignment="1">
      <alignment vertical="center" wrapText="1"/>
    </xf>
    <xf numFmtId="3" fontId="0" fillId="0" borderId="11" xfId="0" applyNumberFormat="1" applyBorder="1" applyAlignment="1">
      <alignment vertical="center" wrapText="1"/>
    </xf>
    <xf numFmtId="3" fontId="0" fillId="0" borderId="12" xfId="0" applyNumberForma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7" fontId="2" fillId="0" borderId="3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 indent="4"/>
    </xf>
    <xf numFmtId="3" fontId="0" fillId="0" borderId="0" xfId="0" applyNumberForma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quotePrefix="1" applyBorder="1" applyAlignment="1">
      <alignment horizontal="left" vertical="center" wrapText="1" indent="4"/>
    </xf>
    <xf numFmtId="0" fontId="0" fillId="0" borderId="0" xfId="0" applyNumberFormat="1" applyBorder="1" applyAlignment="1">
      <alignment horizontal="lef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N17"/>
  <sheetViews>
    <sheetView workbookViewId="0">
      <pane xSplit="1" topLeftCell="B1" activePane="topRight" state="frozen"/>
      <selection activeCell="E8" sqref="E8"/>
      <selection pane="topRight" activeCell="E3" sqref="E3"/>
    </sheetView>
  </sheetViews>
  <sheetFormatPr defaultColWidth="8.77734375" defaultRowHeight="14.4" x14ac:dyDescent="0.3"/>
  <cols>
    <col min="1" max="1" width="25.5546875" style="1" customWidth="1"/>
    <col min="2" max="3" width="9.88671875" style="1" bestFit="1" customWidth="1"/>
    <col min="4" max="4" width="10.88671875" style="1" bestFit="1" customWidth="1"/>
    <col min="5" max="40" width="10.109375" style="1" bestFit="1" customWidth="1"/>
    <col min="41" max="16384" width="8.77734375" style="1"/>
  </cols>
  <sheetData>
    <row r="1" spans="1:40" ht="23.55" customHeight="1" thickBot="1" x14ac:dyDescent="0.3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31.2" customHeight="1" thickTop="1" x14ac:dyDescent="0.3"/>
    <row r="3" spans="1:40" s="4" customFormat="1" ht="29.4" thickBot="1" x14ac:dyDescent="0.35">
      <c r="A3" s="2" t="s">
        <v>0</v>
      </c>
      <c r="B3" s="3" t="s">
        <v>15</v>
      </c>
      <c r="C3" s="3" t="s">
        <v>16</v>
      </c>
      <c r="D3" s="3" t="s">
        <v>17</v>
      </c>
      <c r="E3" s="23">
        <v>42370</v>
      </c>
      <c r="F3" s="23">
        <v>42401</v>
      </c>
      <c r="G3" s="23">
        <v>42430</v>
      </c>
      <c r="H3" s="23">
        <v>42461</v>
      </c>
      <c r="I3" s="23">
        <v>42491</v>
      </c>
      <c r="J3" s="23">
        <v>42522</v>
      </c>
      <c r="K3" s="23">
        <v>42552</v>
      </c>
      <c r="L3" s="23">
        <v>42583</v>
      </c>
      <c r="M3" s="23">
        <v>42614</v>
      </c>
      <c r="N3" s="23">
        <v>42644</v>
      </c>
      <c r="O3" s="23">
        <v>42675</v>
      </c>
      <c r="P3" s="23">
        <v>42705</v>
      </c>
      <c r="Q3" s="23">
        <v>42736</v>
      </c>
      <c r="R3" s="23">
        <v>42767</v>
      </c>
      <c r="S3" s="23">
        <v>42795</v>
      </c>
      <c r="T3" s="23">
        <v>42826</v>
      </c>
      <c r="U3" s="23">
        <v>42856</v>
      </c>
      <c r="V3" s="23">
        <v>42887</v>
      </c>
      <c r="W3" s="23">
        <v>42917</v>
      </c>
      <c r="X3" s="23">
        <v>42948</v>
      </c>
      <c r="Y3" s="23">
        <v>42979</v>
      </c>
      <c r="Z3" s="23">
        <v>43009</v>
      </c>
      <c r="AA3" s="23">
        <v>43040</v>
      </c>
      <c r="AB3" s="23">
        <v>43070</v>
      </c>
      <c r="AC3" s="23">
        <v>43101</v>
      </c>
      <c r="AD3" s="23">
        <v>43132</v>
      </c>
      <c r="AE3" s="23">
        <v>43160</v>
      </c>
      <c r="AF3" s="23">
        <v>43191</v>
      </c>
      <c r="AG3" s="23">
        <v>43221</v>
      </c>
      <c r="AH3" s="23">
        <v>43252</v>
      </c>
      <c r="AI3" s="23">
        <v>43282</v>
      </c>
      <c r="AJ3" s="23">
        <v>43313</v>
      </c>
      <c r="AK3" s="23">
        <v>43344</v>
      </c>
      <c r="AL3" s="23">
        <v>43374</v>
      </c>
      <c r="AM3" s="23">
        <v>43405</v>
      </c>
      <c r="AN3" s="23">
        <v>43435</v>
      </c>
    </row>
    <row r="4" spans="1:40" s="8" customFormat="1" ht="22.05" customHeight="1" thickTop="1" thickBot="1" x14ac:dyDescent="0.35">
      <c r="A4" s="5" t="s">
        <v>18</v>
      </c>
      <c r="B4" s="6">
        <f>B5+B13+B16</f>
        <v>8948630</v>
      </c>
      <c r="C4" s="6">
        <f t="shared" ref="C4:AN4" si="0">C5+C13+C16</f>
        <v>8901780</v>
      </c>
      <c r="D4" s="6">
        <f t="shared" si="0"/>
        <v>9069980</v>
      </c>
      <c r="E4" s="6">
        <f t="shared" si="0"/>
        <v>765950</v>
      </c>
      <c r="F4" s="6">
        <f t="shared" si="0"/>
        <v>769790</v>
      </c>
      <c r="G4" s="6">
        <f t="shared" si="0"/>
        <v>782710</v>
      </c>
      <c r="H4" s="6">
        <f t="shared" si="0"/>
        <v>779520</v>
      </c>
      <c r="I4" s="6">
        <f t="shared" si="0"/>
        <v>675590</v>
      </c>
      <c r="J4" s="6">
        <f t="shared" si="0"/>
        <v>737390</v>
      </c>
      <c r="K4" s="6">
        <f t="shared" si="0"/>
        <v>780700</v>
      </c>
      <c r="L4" s="6">
        <f t="shared" si="0"/>
        <v>694790</v>
      </c>
      <c r="M4" s="6">
        <f t="shared" si="0"/>
        <v>751460</v>
      </c>
      <c r="N4" s="6">
        <f t="shared" si="0"/>
        <v>709370</v>
      </c>
      <c r="O4" s="6">
        <f t="shared" si="0"/>
        <v>729690</v>
      </c>
      <c r="P4" s="6">
        <f t="shared" si="0"/>
        <v>771670</v>
      </c>
      <c r="Q4" s="6">
        <f t="shared" si="0"/>
        <v>639890</v>
      </c>
      <c r="R4" s="6">
        <f t="shared" si="0"/>
        <v>707090</v>
      </c>
      <c r="S4" s="6">
        <f t="shared" si="0"/>
        <v>650900</v>
      </c>
      <c r="T4" s="6">
        <f t="shared" si="0"/>
        <v>727080</v>
      </c>
      <c r="U4" s="6">
        <f t="shared" si="0"/>
        <v>777350</v>
      </c>
      <c r="V4" s="6">
        <f t="shared" si="0"/>
        <v>841740</v>
      </c>
      <c r="W4" s="6">
        <f t="shared" si="0"/>
        <v>739870</v>
      </c>
      <c r="X4" s="6">
        <f t="shared" si="0"/>
        <v>856860</v>
      </c>
      <c r="Y4" s="6">
        <f t="shared" si="0"/>
        <v>734920</v>
      </c>
      <c r="Z4" s="6">
        <f t="shared" si="0"/>
        <v>779860</v>
      </c>
      <c r="AA4" s="6">
        <f t="shared" si="0"/>
        <v>678960</v>
      </c>
      <c r="AB4" s="6">
        <f t="shared" si="0"/>
        <v>767260</v>
      </c>
      <c r="AC4" s="6">
        <f t="shared" si="0"/>
        <v>793720</v>
      </c>
      <c r="AD4" s="6">
        <f t="shared" si="0"/>
        <v>776820</v>
      </c>
      <c r="AE4" s="6">
        <f t="shared" si="0"/>
        <v>651530</v>
      </c>
      <c r="AF4" s="6">
        <f t="shared" si="0"/>
        <v>829620</v>
      </c>
      <c r="AG4" s="6">
        <f t="shared" si="0"/>
        <v>767080</v>
      </c>
      <c r="AH4" s="6">
        <f t="shared" si="0"/>
        <v>812860</v>
      </c>
      <c r="AI4" s="6">
        <f t="shared" si="0"/>
        <v>810400</v>
      </c>
      <c r="AJ4" s="6">
        <f t="shared" si="0"/>
        <v>691190</v>
      </c>
      <c r="AK4" s="6">
        <f t="shared" si="0"/>
        <v>736330</v>
      </c>
      <c r="AL4" s="6">
        <f t="shared" si="0"/>
        <v>628060</v>
      </c>
      <c r="AM4" s="6">
        <f t="shared" si="0"/>
        <v>807020</v>
      </c>
      <c r="AN4" s="7">
        <f t="shared" si="0"/>
        <v>765350</v>
      </c>
    </row>
    <row r="5" spans="1:40" s="8" customFormat="1" ht="22.05" customHeight="1" thickBot="1" x14ac:dyDescent="0.35">
      <c r="A5" s="9" t="s">
        <v>12</v>
      </c>
      <c r="B5" s="10">
        <f>SUM(B6:B12)</f>
        <v>6105350</v>
      </c>
      <c r="C5" s="10">
        <f t="shared" ref="C5:AN5" si="1">SUM(C6:C12)</f>
        <v>6138730</v>
      </c>
      <c r="D5" s="10">
        <f t="shared" si="1"/>
        <v>6212310</v>
      </c>
      <c r="E5" s="10">
        <f t="shared" si="1"/>
        <v>525410</v>
      </c>
      <c r="F5" s="10">
        <f t="shared" si="1"/>
        <v>547690</v>
      </c>
      <c r="G5" s="10">
        <f t="shared" si="1"/>
        <v>569900</v>
      </c>
      <c r="H5" s="10">
        <f t="shared" si="1"/>
        <v>553030</v>
      </c>
      <c r="I5" s="10">
        <f t="shared" si="1"/>
        <v>448270</v>
      </c>
      <c r="J5" s="10">
        <f t="shared" si="1"/>
        <v>483350</v>
      </c>
      <c r="K5" s="10">
        <f t="shared" si="1"/>
        <v>521080</v>
      </c>
      <c r="L5" s="10">
        <f t="shared" si="1"/>
        <v>473670</v>
      </c>
      <c r="M5" s="10">
        <f t="shared" si="1"/>
        <v>499840</v>
      </c>
      <c r="N5" s="10">
        <f t="shared" si="1"/>
        <v>491790</v>
      </c>
      <c r="O5" s="10">
        <f t="shared" si="1"/>
        <v>495100</v>
      </c>
      <c r="P5" s="10">
        <f t="shared" si="1"/>
        <v>496220</v>
      </c>
      <c r="Q5" s="10">
        <f t="shared" si="1"/>
        <v>432410</v>
      </c>
      <c r="R5" s="10">
        <f t="shared" si="1"/>
        <v>524050</v>
      </c>
      <c r="S5" s="10">
        <f t="shared" si="1"/>
        <v>484170</v>
      </c>
      <c r="T5" s="10">
        <f t="shared" si="1"/>
        <v>488380</v>
      </c>
      <c r="U5" s="10">
        <f t="shared" si="1"/>
        <v>522820</v>
      </c>
      <c r="V5" s="10">
        <f t="shared" si="1"/>
        <v>565250</v>
      </c>
      <c r="W5" s="10">
        <f t="shared" si="1"/>
        <v>554600</v>
      </c>
      <c r="X5" s="10">
        <f t="shared" si="1"/>
        <v>551230</v>
      </c>
      <c r="Y5" s="10">
        <f t="shared" si="1"/>
        <v>490520</v>
      </c>
      <c r="Z5" s="10">
        <f t="shared" si="1"/>
        <v>477730</v>
      </c>
      <c r="AA5" s="10">
        <f t="shared" si="1"/>
        <v>482030</v>
      </c>
      <c r="AB5" s="10">
        <f t="shared" si="1"/>
        <v>565540</v>
      </c>
      <c r="AC5" s="10">
        <f t="shared" si="1"/>
        <v>540130</v>
      </c>
      <c r="AD5" s="10">
        <f t="shared" si="1"/>
        <v>577070</v>
      </c>
      <c r="AE5" s="10">
        <f t="shared" si="1"/>
        <v>443670</v>
      </c>
      <c r="AF5" s="10">
        <f t="shared" si="1"/>
        <v>534920</v>
      </c>
      <c r="AG5" s="10">
        <f t="shared" si="1"/>
        <v>498520</v>
      </c>
      <c r="AH5" s="10">
        <f t="shared" si="1"/>
        <v>546940</v>
      </c>
      <c r="AI5" s="10">
        <f t="shared" si="1"/>
        <v>572040</v>
      </c>
      <c r="AJ5" s="10">
        <f t="shared" si="1"/>
        <v>444970</v>
      </c>
      <c r="AK5" s="10">
        <f t="shared" si="1"/>
        <v>531030</v>
      </c>
      <c r="AL5" s="10">
        <f t="shared" si="1"/>
        <v>436370</v>
      </c>
      <c r="AM5" s="10">
        <f t="shared" si="1"/>
        <v>542820</v>
      </c>
      <c r="AN5" s="11">
        <f t="shared" si="1"/>
        <v>543830</v>
      </c>
    </row>
    <row r="6" spans="1:40" x14ac:dyDescent="0.3">
      <c r="A6" s="12" t="s">
        <v>1</v>
      </c>
      <c r="B6" s="13">
        <f>SUM(E6:P6)</f>
        <v>921170</v>
      </c>
      <c r="C6" s="14">
        <f t="shared" ref="C6:C12" si="2">SUM(Q6:AB6)</f>
        <v>819020</v>
      </c>
      <c r="D6" s="14">
        <f t="shared" ref="D6:D12" si="3">SUM(AC6:AN6)</f>
        <v>861210</v>
      </c>
      <c r="E6" s="15">
        <v>68480</v>
      </c>
      <c r="F6" s="15">
        <v>73200</v>
      </c>
      <c r="G6" s="15">
        <v>93600</v>
      </c>
      <c r="H6" s="15">
        <v>99540</v>
      </c>
      <c r="I6" s="15">
        <v>58480</v>
      </c>
      <c r="J6" s="15">
        <v>54120</v>
      </c>
      <c r="K6" s="15">
        <v>78120</v>
      </c>
      <c r="L6" s="15">
        <v>83930</v>
      </c>
      <c r="M6" s="15">
        <v>68670</v>
      </c>
      <c r="N6" s="15">
        <v>101250</v>
      </c>
      <c r="O6" s="15">
        <v>68340</v>
      </c>
      <c r="P6" s="15">
        <v>73440</v>
      </c>
      <c r="Q6" s="15">
        <v>45760</v>
      </c>
      <c r="R6" s="15">
        <v>67900</v>
      </c>
      <c r="S6" s="15">
        <v>54520</v>
      </c>
      <c r="T6" s="15">
        <v>85800</v>
      </c>
      <c r="U6" s="15">
        <v>50400</v>
      </c>
      <c r="V6" s="15">
        <v>86620</v>
      </c>
      <c r="W6" s="15">
        <v>71710</v>
      </c>
      <c r="X6" s="15">
        <v>45570</v>
      </c>
      <c r="Y6" s="15">
        <v>74480</v>
      </c>
      <c r="Z6" s="15">
        <v>65880</v>
      </c>
      <c r="AA6" s="15">
        <v>79360</v>
      </c>
      <c r="AB6" s="15">
        <v>91020</v>
      </c>
      <c r="AC6" s="15">
        <v>62060</v>
      </c>
      <c r="AD6" s="15">
        <v>66600</v>
      </c>
      <c r="AE6" s="15">
        <v>52780</v>
      </c>
      <c r="AF6" s="15">
        <v>89600</v>
      </c>
      <c r="AG6" s="15">
        <v>52700</v>
      </c>
      <c r="AH6" s="15">
        <v>101250</v>
      </c>
      <c r="AI6" s="15">
        <v>100620</v>
      </c>
      <c r="AJ6" s="15">
        <v>51850</v>
      </c>
      <c r="AK6" s="15">
        <v>63900</v>
      </c>
      <c r="AL6" s="15">
        <v>61950</v>
      </c>
      <c r="AM6" s="15">
        <v>93940</v>
      </c>
      <c r="AN6" s="16">
        <v>63960</v>
      </c>
    </row>
    <row r="7" spans="1:40" x14ac:dyDescent="0.3">
      <c r="A7" s="17" t="s">
        <v>2</v>
      </c>
      <c r="B7" s="18">
        <f t="shared" ref="B7:B17" si="4">SUM(E7:P7)</f>
        <v>830290</v>
      </c>
      <c r="C7" s="19">
        <f t="shared" si="2"/>
        <v>882610</v>
      </c>
      <c r="D7" s="19">
        <f t="shared" si="3"/>
        <v>894330</v>
      </c>
      <c r="E7" s="20">
        <v>60200</v>
      </c>
      <c r="F7" s="20">
        <v>63360</v>
      </c>
      <c r="G7" s="20">
        <v>88000</v>
      </c>
      <c r="H7" s="20">
        <v>79560</v>
      </c>
      <c r="I7" s="20">
        <v>50840</v>
      </c>
      <c r="J7" s="20">
        <v>56700</v>
      </c>
      <c r="K7" s="20">
        <v>77520</v>
      </c>
      <c r="L7" s="20">
        <v>66490</v>
      </c>
      <c r="M7" s="20">
        <v>53200</v>
      </c>
      <c r="N7" s="20">
        <v>88000</v>
      </c>
      <c r="O7" s="20">
        <v>78750</v>
      </c>
      <c r="P7" s="20">
        <v>67670</v>
      </c>
      <c r="Q7" s="20">
        <v>67230</v>
      </c>
      <c r="R7" s="20">
        <v>71250</v>
      </c>
      <c r="S7" s="20">
        <v>74690</v>
      </c>
      <c r="T7" s="20">
        <v>67860</v>
      </c>
      <c r="U7" s="20">
        <v>69600</v>
      </c>
      <c r="V7" s="20">
        <v>54000</v>
      </c>
      <c r="W7" s="20">
        <v>53120</v>
      </c>
      <c r="X7" s="20">
        <v>111360</v>
      </c>
      <c r="Y7" s="20">
        <v>91700</v>
      </c>
      <c r="Z7" s="20">
        <v>77969.999999999985</v>
      </c>
      <c r="AA7" s="20">
        <v>69030</v>
      </c>
      <c r="AB7" s="20">
        <v>74800</v>
      </c>
      <c r="AC7" s="20">
        <v>57800</v>
      </c>
      <c r="AD7" s="20">
        <v>102600</v>
      </c>
      <c r="AE7" s="20">
        <v>60419.999999999993</v>
      </c>
      <c r="AF7" s="20">
        <v>90100</v>
      </c>
      <c r="AG7" s="20">
        <v>77350</v>
      </c>
      <c r="AH7" s="20">
        <v>55680</v>
      </c>
      <c r="AI7" s="20">
        <v>90480</v>
      </c>
      <c r="AJ7" s="20">
        <v>58240</v>
      </c>
      <c r="AK7" s="20">
        <v>59280</v>
      </c>
      <c r="AL7" s="20">
        <v>67260</v>
      </c>
      <c r="AM7" s="20">
        <v>80400</v>
      </c>
      <c r="AN7" s="21">
        <v>94720</v>
      </c>
    </row>
    <row r="8" spans="1:40" x14ac:dyDescent="0.3">
      <c r="A8" s="17" t="s">
        <v>3</v>
      </c>
      <c r="B8" s="18">
        <f t="shared" si="4"/>
        <v>826280</v>
      </c>
      <c r="C8" s="19">
        <f t="shared" si="2"/>
        <v>888760</v>
      </c>
      <c r="D8" s="19">
        <f t="shared" si="3"/>
        <v>924560</v>
      </c>
      <c r="E8" s="20">
        <v>67200</v>
      </c>
      <c r="F8" s="20">
        <v>94710</v>
      </c>
      <c r="G8" s="20">
        <v>77350</v>
      </c>
      <c r="H8" s="20">
        <v>59160</v>
      </c>
      <c r="I8" s="20">
        <v>48720</v>
      </c>
      <c r="J8" s="20">
        <v>78200</v>
      </c>
      <c r="K8" s="20">
        <v>75240</v>
      </c>
      <c r="L8" s="20">
        <v>54320</v>
      </c>
      <c r="M8" s="20">
        <v>57420</v>
      </c>
      <c r="N8" s="20">
        <v>51940</v>
      </c>
      <c r="O8" s="20">
        <v>91000</v>
      </c>
      <c r="P8" s="20">
        <v>71020</v>
      </c>
      <c r="Q8" s="20">
        <v>59360</v>
      </c>
      <c r="R8" s="20">
        <v>71040</v>
      </c>
      <c r="S8" s="20">
        <v>67000</v>
      </c>
      <c r="T8" s="20">
        <v>93600</v>
      </c>
      <c r="U8" s="20">
        <v>79180</v>
      </c>
      <c r="V8" s="20">
        <v>71040</v>
      </c>
      <c r="W8" s="20">
        <v>81740</v>
      </c>
      <c r="X8" s="20">
        <v>78540</v>
      </c>
      <c r="Y8" s="20">
        <v>79060</v>
      </c>
      <c r="Z8" s="20">
        <v>78600</v>
      </c>
      <c r="AA8" s="20">
        <v>47520</v>
      </c>
      <c r="AB8" s="20">
        <v>82080</v>
      </c>
      <c r="AC8" s="20">
        <v>92160</v>
      </c>
      <c r="AD8" s="20">
        <v>85000</v>
      </c>
      <c r="AE8" s="20">
        <v>58759.999999999993</v>
      </c>
      <c r="AF8" s="20">
        <v>65000</v>
      </c>
      <c r="AG8" s="20">
        <v>96200</v>
      </c>
      <c r="AH8" s="20">
        <v>88200</v>
      </c>
      <c r="AI8" s="20">
        <v>60690</v>
      </c>
      <c r="AJ8" s="20">
        <v>98550</v>
      </c>
      <c r="AK8" s="20">
        <v>62400</v>
      </c>
      <c r="AL8" s="20">
        <v>78400</v>
      </c>
      <c r="AM8" s="20">
        <v>49880</v>
      </c>
      <c r="AN8" s="21">
        <v>89320</v>
      </c>
    </row>
    <row r="9" spans="1:40" x14ac:dyDescent="0.3">
      <c r="A9" s="17" t="s">
        <v>4</v>
      </c>
      <c r="B9" s="18">
        <f t="shared" si="4"/>
        <v>910220</v>
      </c>
      <c r="C9" s="19">
        <f t="shared" si="2"/>
        <v>893270</v>
      </c>
      <c r="D9" s="19">
        <f t="shared" si="3"/>
        <v>843590</v>
      </c>
      <c r="E9" s="20">
        <v>96480</v>
      </c>
      <c r="F9" s="20">
        <v>78480</v>
      </c>
      <c r="G9" s="20">
        <v>105300</v>
      </c>
      <c r="H9" s="20">
        <v>54320</v>
      </c>
      <c r="I9" s="20">
        <v>94500</v>
      </c>
      <c r="J9" s="20">
        <v>74250</v>
      </c>
      <c r="K9" s="20">
        <v>68800</v>
      </c>
      <c r="L9" s="20">
        <v>64600</v>
      </c>
      <c r="M9" s="20">
        <v>81900</v>
      </c>
      <c r="N9" s="20">
        <v>65450</v>
      </c>
      <c r="O9" s="20">
        <v>49880</v>
      </c>
      <c r="P9" s="20">
        <v>76260</v>
      </c>
      <c r="Q9" s="20">
        <v>61110</v>
      </c>
      <c r="R9" s="20">
        <v>93450</v>
      </c>
      <c r="S9" s="20">
        <v>50400</v>
      </c>
      <c r="T9" s="20">
        <v>60140</v>
      </c>
      <c r="U9" s="20">
        <v>86400</v>
      </c>
      <c r="V9" s="20">
        <v>109620</v>
      </c>
      <c r="W9" s="20">
        <v>79200</v>
      </c>
      <c r="X9" s="20">
        <v>78810</v>
      </c>
      <c r="Y9" s="20">
        <v>55440</v>
      </c>
      <c r="Z9" s="20">
        <v>50400</v>
      </c>
      <c r="AA9" s="20">
        <v>78840</v>
      </c>
      <c r="AB9" s="20">
        <v>89460</v>
      </c>
      <c r="AC9" s="20">
        <v>73100</v>
      </c>
      <c r="AD9" s="20">
        <v>78780</v>
      </c>
      <c r="AE9" s="20">
        <v>64020</v>
      </c>
      <c r="AF9" s="20">
        <v>64680</v>
      </c>
      <c r="AG9" s="20">
        <v>48720</v>
      </c>
      <c r="AH9" s="20">
        <v>76860</v>
      </c>
      <c r="AI9" s="20">
        <v>74100</v>
      </c>
      <c r="AJ9" s="20">
        <v>71690</v>
      </c>
      <c r="AK9" s="20">
        <v>70520</v>
      </c>
      <c r="AL9" s="20">
        <v>60200</v>
      </c>
      <c r="AM9" s="20">
        <v>73080</v>
      </c>
      <c r="AN9" s="21">
        <v>87840</v>
      </c>
    </row>
    <row r="10" spans="1:40" x14ac:dyDescent="0.3">
      <c r="A10" s="17" t="s">
        <v>5</v>
      </c>
      <c r="B10" s="18">
        <f t="shared" si="4"/>
        <v>797320</v>
      </c>
      <c r="C10" s="19">
        <f t="shared" si="2"/>
        <v>827290</v>
      </c>
      <c r="D10" s="19">
        <f t="shared" si="3"/>
        <v>834340</v>
      </c>
      <c r="E10" s="20">
        <v>82530</v>
      </c>
      <c r="F10" s="20">
        <v>79200</v>
      </c>
      <c r="G10" s="20">
        <v>53550</v>
      </c>
      <c r="H10" s="20">
        <v>91700</v>
      </c>
      <c r="I10" s="20">
        <v>60839.999999999993</v>
      </c>
      <c r="J10" s="20">
        <v>50400</v>
      </c>
      <c r="K10" s="20">
        <v>51460</v>
      </c>
      <c r="L10" s="20">
        <v>61610</v>
      </c>
      <c r="M10" s="20">
        <v>80600</v>
      </c>
      <c r="N10" s="20">
        <v>50400</v>
      </c>
      <c r="O10" s="20">
        <v>55650</v>
      </c>
      <c r="P10" s="20">
        <v>79380</v>
      </c>
      <c r="Q10" s="20">
        <v>56999.999999999993</v>
      </c>
      <c r="R10" s="20">
        <v>66240</v>
      </c>
      <c r="S10" s="20">
        <v>75000</v>
      </c>
      <c r="T10" s="20">
        <v>60839.999999999993</v>
      </c>
      <c r="U10" s="20">
        <v>78100</v>
      </c>
      <c r="V10" s="20">
        <v>71280</v>
      </c>
      <c r="W10" s="20">
        <v>95760</v>
      </c>
      <c r="X10" s="20">
        <v>98420</v>
      </c>
      <c r="Y10" s="20">
        <v>53350</v>
      </c>
      <c r="Z10" s="20">
        <v>52380</v>
      </c>
      <c r="AA10" s="20">
        <v>59400.000000000007</v>
      </c>
      <c r="AB10" s="20">
        <v>59520</v>
      </c>
      <c r="AC10" s="20">
        <v>83740</v>
      </c>
      <c r="AD10" s="20">
        <v>62230</v>
      </c>
      <c r="AE10" s="20">
        <v>53500</v>
      </c>
      <c r="AF10" s="20">
        <v>68440</v>
      </c>
      <c r="AG10" s="20">
        <v>65540</v>
      </c>
      <c r="AH10" s="20">
        <v>63130.000000000007</v>
      </c>
      <c r="AI10" s="20">
        <v>90450</v>
      </c>
      <c r="AJ10" s="20">
        <v>56730</v>
      </c>
      <c r="AK10" s="20">
        <v>81840</v>
      </c>
      <c r="AL10" s="20">
        <v>49140</v>
      </c>
      <c r="AM10" s="20">
        <v>94800</v>
      </c>
      <c r="AN10" s="21">
        <v>64800.000000000007</v>
      </c>
    </row>
    <row r="11" spans="1:40" x14ac:dyDescent="0.3">
      <c r="A11" s="17" t="s">
        <v>6</v>
      </c>
      <c r="B11" s="18">
        <f t="shared" si="4"/>
        <v>896910</v>
      </c>
      <c r="C11" s="19">
        <f t="shared" si="2"/>
        <v>966540</v>
      </c>
      <c r="D11" s="19">
        <f t="shared" si="3"/>
        <v>868620</v>
      </c>
      <c r="E11" s="20">
        <v>69580</v>
      </c>
      <c r="F11" s="20">
        <v>75440</v>
      </c>
      <c r="G11" s="20">
        <v>85140</v>
      </c>
      <c r="H11" s="20">
        <v>98550</v>
      </c>
      <c r="I11" s="20">
        <v>60970</v>
      </c>
      <c r="J11" s="20">
        <v>56280</v>
      </c>
      <c r="K11" s="20">
        <v>98560</v>
      </c>
      <c r="L11" s="20">
        <v>70180</v>
      </c>
      <c r="M11" s="20">
        <v>73810</v>
      </c>
      <c r="N11" s="20">
        <v>64350</v>
      </c>
      <c r="O11" s="20">
        <v>85150</v>
      </c>
      <c r="P11" s="20">
        <v>58900</v>
      </c>
      <c r="Q11" s="20">
        <v>52700</v>
      </c>
      <c r="R11" s="20">
        <v>82080</v>
      </c>
      <c r="S11" s="20">
        <v>99560</v>
      </c>
      <c r="T11" s="20">
        <v>60140</v>
      </c>
      <c r="U11" s="20">
        <v>80300</v>
      </c>
      <c r="V11" s="20">
        <v>106140</v>
      </c>
      <c r="W11" s="20">
        <v>90750</v>
      </c>
      <c r="X11" s="20">
        <v>80229.999999999985</v>
      </c>
      <c r="Y11" s="20">
        <v>66420</v>
      </c>
      <c r="Z11" s="20">
        <v>92020</v>
      </c>
      <c r="AA11" s="20">
        <v>65800</v>
      </c>
      <c r="AB11" s="20">
        <v>90399.999999999985</v>
      </c>
      <c r="AC11" s="20">
        <v>77470</v>
      </c>
      <c r="AD11" s="20">
        <v>79200</v>
      </c>
      <c r="AE11" s="20">
        <v>65450</v>
      </c>
      <c r="AF11" s="20">
        <v>86100</v>
      </c>
      <c r="AG11" s="20">
        <v>91980</v>
      </c>
      <c r="AH11" s="20">
        <v>47850</v>
      </c>
      <c r="AI11" s="20">
        <v>57800</v>
      </c>
      <c r="AJ11" s="20">
        <v>54150</v>
      </c>
      <c r="AK11" s="20">
        <v>101250</v>
      </c>
      <c r="AL11" s="20">
        <v>45920</v>
      </c>
      <c r="AM11" s="20">
        <v>85760</v>
      </c>
      <c r="AN11" s="21">
        <v>75690</v>
      </c>
    </row>
    <row r="12" spans="1:40" ht="15" thickBot="1" x14ac:dyDescent="0.35">
      <c r="A12" s="17" t="s">
        <v>7</v>
      </c>
      <c r="B12" s="18">
        <f t="shared" si="4"/>
        <v>923160</v>
      </c>
      <c r="C12" s="19">
        <f t="shared" si="2"/>
        <v>861240</v>
      </c>
      <c r="D12" s="19">
        <f t="shared" si="3"/>
        <v>985660</v>
      </c>
      <c r="E12" s="20">
        <v>80940</v>
      </c>
      <c r="F12" s="20">
        <v>83300</v>
      </c>
      <c r="G12" s="20">
        <v>66960</v>
      </c>
      <c r="H12" s="20">
        <v>70200</v>
      </c>
      <c r="I12" s="20">
        <v>73920</v>
      </c>
      <c r="J12" s="20">
        <v>113400.00000000001</v>
      </c>
      <c r="K12" s="20">
        <v>71380</v>
      </c>
      <c r="L12" s="20">
        <v>72540</v>
      </c>
      <c r="M12" s="20">
        <v>84240</v>
      </c>
      <c r="N12" s="20">
        <v>70400</v>
      </c>
      <c r="O12" s="20">
        <v>66330</v>
      </c>
      <c r="P12" s="20">
        <v>69550</v>
      </c>
      <c r="Q12" s="20">
        <v>89250</v>
      </c>
      <c r="R12" s="20">
        <v>72090</v>
      </c>
      <c r="S12" s="20">
        <v>63000</v>
      </c>
      <c r="T12" s="20">
        <v>60000</v>
      </c>
      <c r="U12" s="20">
        <v>78840</v>
      </c>
      <c r="V12" s="20">
        <v>66550</v>
      </c>
      <c r="W12" s="20">
        <v>82320</v>
      </c>
      <c r="X12" s="20">
        <v>58300.000000000007</v>
      </c>
      <c r="Y12" s="20">
        <v>70070</v>
      </c>
      <c r="Z12" s="20">
        <v>60480</v>
      </c>
      <c r="AA12" s="20">
        <v>82080</v>
      </c>
      <c r="AB12" s="20">
        <v>78260</v>
      </c>
      <c r="AC12" s="20">
        <v>93800</v>
      </c>
      <c r="AD12" s="20">
        <v>102660</v>
      </c>
      <c r="AE12" s="20">
        <v>88740</v>
      </c>
      <c r="AF12" s="20">
        <v>71000</v>
      </c>
      <c r="AG12" s="20">
        <v>66030</v>
      </c>
      <c r="AH12" s="20">
        <v>113970</v>
      </c>
      <c r="AI12" s="20">
        <v>97900.000000000015</v>
      </c>
      <c r="AJ12" s="20">
        <v>53760</v>
      </c>
      <c r="AK12" s="20">
        <v>91840.000000000015</v>
      </c>
      <c r="AL12" s="20">
        <v>73500</v>
      </c>
      <c r="AM12" s="20">
        <v>64960.000000000007</v>
      </c>
      <c r="AN12" s="21">
        <v>67500</v>
      </c>
    </row>
    <row r="13" spans="1:40" s="8" customFormat="1" ht="22.05" customHeight="1" thickBot="1" x14ac:dyDescent="0.35">
      <c r="A13" s="9" t="s">
        <v>14</v>
      </c>
      <c r="B13" s="10">
        <f>SUM(B14:B15)</f>
        <v>1992320</v>
      </c>
      <c r="C13" s="10">
        <f t="shared" ref="C13:AN13" si="5">SUM(C14:C15)</f>
        <v>1794590</v>
      </c>
      <c r="D13" s="10">
        <f t="shared" si="5"/>
        <v>1884470</v>
      </c>
      <c r="E13" s="10">
        <f t="shared" si="5"/>
        <v>179220</v>
      </c>
      <c r="F13" s="10">
        <f t="shared" si="5"/>
        <v>178100</v>
      </c>
      <c r="G13" s="10">
        <f t="shared" si="5"/>
        <v>144410</v>
      </c>
      <c r="H13" s="10">
        <f t="shared" si="5"/>
        <v>166710</v>
      </c>
      <c r="I13" s="10">
        <f t="shared" si="5"/>
        <v>140650</v>
      </c>
      <c r="J13" s="10">
        <f t="shared" si="5"/>
        <v>158580</v>
      </c>
      <c r="K13" s="10">
        <f t="shared" si="5"/>
        <v>192040</v>
      </c>
      <c r="L13" s="10">
        <f t="shared" si="5"/>
        <v>160440</v>
      </c>
      <c r="M13" s="10">
        <f t="shared" si="5"/>
        <v>161860</v>
      </c>
      <c r="N13" s="10">
        <f t="shared" si="5"/>
        <v>162800</v>
      </c>
      <c r="O13" s="10">
        <f t="shared" si="5"/>
        <v>150870</v>
      </c>
      <c r="P13" s="10">
        <f t="shared" si="5"/>
        <v>196640</v>
      </c>
      <c r="Q13" s="10">
        <f t="shared" si="5"/>
        <v>126300</v>
      </c>
      <c r="R13" s="10">
        <f t="shared" si="5"/>
        <v>109090</v>
      </c>
      <c r="S13" s="10">
        <f t="shared" si="5"/>
        <v>104330</v>
      </c>
      <c r="T13" s="10">
        <f t="shared" si="5"/>
        <v>186220</v>
      </c>
      <c r="U13" s="10">
        <f t="shared" si="5"/>
        <v>152190</v>
      </c>
      <c r="V13" s="10">
        <f t="shared" si="5"/>
        <v>167290</v>
      </c>
      <c r="W13" s="10">
        <f t="shared" si="5"/>
        <v>135390</v>
      </c>
      <c r="X13" s="10">
        <f t="shared" si="5"/>
        <v>219310</v>
      </c>
      <c r="Y13" s="10">
        <f t="shared" si="5"/>
        <v>155600</v>
      </c>
      <c r="Z13" s="10">
        <f t="shared" si="5"/>
        <v>181980</v>
      </c>
      <c r="AA13" s="10">
        <f t="shared" si="5"/>
        <v>124770</v>
      </c>
      <c r="AB13" s="10">
        <f t="shared" si="5"/>
        <v>132120</v>
      </c>
      <c r="AC13" s="10">
        <f t="shared" si="5"/>
        <v>141030</v>
      </c>
      <c r="AD13" s="10">
        <f t="shared" si="5"/>
        <v>131220</v>
      </c>
      <c r="AE13" s="10">
        <f t="shared" si="5"/>
        <v>134720</v>
      </c>
      <c r="AF13" s="10">
        <f t="shared" si="5"/>
        <v>216300</v>
      </c>
      <c r="AG13" s="10">
        <f t="shared" si="5"/>
        <v>169790</v>
      </c>
      <c r="AH13" s="10">
        <f t="shared" si="5"/>
        <v>189360</v>
      </c>
      <c r="AI13" s="10">
        <f t="shared" si="5"/>
        <v>170320</v>
      </c>
      <c r="AJ13" s="10">
        <f t="shared" si="5"/>
        <v>172560</v>
      </c>
      <c r="AK13" s="10">
        <f t="shared" si="5"/>
        <v>121470</v>
      </c>
      <c r="AL13" s="10">
        <f t="shared" si="5"/>
        <v>125540</v>
      </c>
      <c r="AM13" s="10">
        <f t="shared" si="5"/>
        <v>184120</v>
      </c>
      <c r="AN13" s="11">
        <f t="shared" si="5"/>
        <v>128040</v>
      </c>
    </row>
    <row r="14" spans="1:40" x14ac:dyDescent="0.3">
      <c r="A14" s="17" t="s">
        <v>8</v>
      </c>
      <c r="B14" s="18">
        <f t="shared" si="4"/>
        <v>1035750</v>
      </c>
      <c r="C14" s="19">
        <f>SUM(Q14:AB14)</f>
        <v>960460</v>
      </c>
      <c r="D14" s="19">
        <f>SUM(AC14:AN14)</f>
        <v>963910</v>
      </c>
      <c r="E14" s="20">
        <v>94900</v>
      </c>
      <c r="F14" s="20">
        <v>106600</v>
      </c>
      <c r="G14" s="20">
        <v>72520</v>
      </c>
      <c r="H14" s="20">
        <v>78960</v>
      </c>
      <c r="I14" s="20">
        <v>74620</v>
      </c>
      <c r="J14" s="20">
        <v>68060</v>
      </c>
      <c r="K14" s="20">
        <v>109650</v>
      </c>
      <c r="L14" s="20">
        <v>97200</v>
      </c>
      <c r="M14" s="20">
        <v>73360</v>
      </c>
      <c r="N14" s="20">
        <v>96720</v>
      </c>
      <c r="O14" s="20">
        <v>65720</v>
      </c>
      <c r="P14" s="20">
        <v>97440</v>
      </c>
      <c r="Q14" s="20">
        <v>68880</v>
      </c>
      <c r="R14" s="20">
        <v>56650</v>
      </c>
      <c r="S14" s="20">
        <v>53300</v>
      </c>
      <c r="T14" s="20">
        <v>108730</v>
      </c>
      <c r="U14" s="20">
        <v>78440</v>
      </c>
      <c r="V14" s="20">
        <v>109470</v>
      </c>
      <c r="W14" s="20">
        <v>77440</v>
      </c>
      <c r="X14" s="20">
        <v>113900</v>
      </c>
      <c r="Y14" s="20">
        <v>65920</v>
      </c>
      <c r="Z14" s="20">
        <v>108540</v>
      </c>
      <c r="AA14" s="20">
        <v>60030</v>
      </c>
      <c r="AB14" s="20">
        <v>59160</v>
      </c>
      <c r="AC14" s="20">
        <v>72390</v>
      </c>
      <c r="AD14" s="20">
        <v>67980</v>
      </c>
      <c r="AE14" s="20">
        <v>62130.000000000007</v>
      </c>
      <c r="AF14" s="20">
        <v>113900</v>
      </c>
      <c r="AG14" s="20">
        <v>89540</v>
      </c>
      <c r="AH14" s="20">
        <v>81359.999999999985</v>
      </c>
      <c r="AI14" s="20">
        <v>107100</v>
      </c>
      <c r="AJ14" s="20">
        <v>87690.000000000015</v>
      </c>
      <c r="AK14" s="20">
        <v>50400</v>
      </c>
      <c r="AL14" s="20">
        <v>62100</v>
      </c>
      <c r="AM14" s="20">
        <v>105270</v>
      </c>
      <c r="AN14" s="21">
        <v>64050</v>
      </c>
    </row>
    <row r="15" spans="1:40" ht="15" thickBot="1" x14ac:dyDescent="0.35">
      <c r="A15" s="17" t="s">
        <v>9</v>
      </c>
      <c r="B15" s="18">
        <f t="shared" si="4"/>
        <v>956570</v>
      </c>
      <c r="C15" s="19">
        <f>SUM(Q15:AB15)</f>
        <v>834130</v>
      </c>
      <c r="D15" s="19">
        <f>SUM(AC15:AN15)</f>
        <v>920560</v>
      </c>
      <c r="E15" s="20">
        <v>84320</v>
      </c>
      <c r="F15" s="20">
        <v>71500</v>
      </c>
      <c r="G15" s="20">
        <v>71890</v>
      </c>
      <c r="H15" s="20">
        <v>87750</v>
      </c>
      <c r="I15" s="20">
        <v>66030</v>
      </c>
      <c r="J15" s="20">
        <v>90520</v>
      </c>
      <c r="K15" s="20">
        <v>82390</v>
      </c>
      <c r="L15" s="20">
        <v>63240</v>
      </c>
      <c r="M15" s="20">
        <v>88500</v>
      </c>
      <c r="N15" s="20">
        <v>66080</v>
      </c>
      <c r="O15" s="20">
        <v>85150</v>
      </c>
      <c r="P15" s="20">
        <v>99200</v>
      </c>
      <c r="Q15" s="20">
        <v>57420</v>
      </c>
      <c r="R15" s="20">
        <v>52440</v>
      </c>
      <c r="S15" s="20">
        <v>51030</v>
      </c>
      <c r="T15" s="20">
        <v>77490</v>
      </c>
      <c r="U15" s="20">
        <v>73750</v>
      </c>
      <c r="V15" s="20">
        <v>57820</v>
      </c>
      <c r="W15" s="20">
        <v>57950</v>
      </c>
      <c r="X15" s="20">
        <v>105410</v>
      </c>
      <c r="Y15" s="20">
        <v>89680</v>
      </c>
      <c r="Z15" s="20">
        <v>73440</v>
      </c>
      <c r="AA15" s="20">
        <v>64740</v>
      </c>
      <c r="AB15" s="20">
        <v>72960</v>
      </c>
      <c r="AC15" s="20">
        <v>68640</v>
      </c>
      <c r="AD15" s="20">
        <v>63240</v>
      </c>
      <c r="AE15" s="20">
        <v>72590</v>
      </c>
      <c r="AF15" s="20">
        <v>102400</v>
      </c>
      <c r="AG15" s="20">
        <v>80250</v>
      </c>
      <c r="AH15" s="20">
        <v>108000</v>
      </c>
      <c r="AI15" s="20">
        <v>63220.000000000007</v>
      </c>
      <c r="AJ15" s="20">
        <v>84870</v>
      </c>
      <c r="AK15" s="20">
        <v>71070</v>
      </c>
      <c r="AL15" s="20">
        <v>63440</v>
      </c>
      <c r="AM15" s="20">
        <v>78850</v>
      </c>
      <c r="AN15" s="21">
        <v>63990.000000000007</v>
      </c>
    </row>
    <row r="16" spans="1:40" s="8" customFormat="1" ht="22.05" customHeight="1" thickBot="1" x14ac:dyDescent="0.35">
      <c r="A16" s="9" t="s">
        <v>13</v>
      </c>
      <c r="B16" s="10">
        <f t="shared" ref="B16:AN16" si="6">SUM(B17:B17)</f>
        <v>850960</v>
      </c>
      <c r="C16" s="10">
        <f t="shared" si="6"/>
        <v>968460</v>
      </c>
      <c r="D16" s="10">
        <f t="shared" si="6"/>
        <v>973200</v>
      </c>
      <c r="E16" s="10">
        <f t="shared" si="6"/>
        <v>61320</v>
      </c>
      <c r="F16" s="10">
        <f t="shared" si="6"/>
        <v>44000</v>
      </c>
      <c r="G16" s="10">
        <f t="shared" si="6"/>
        <v>68400</v>
      </c>
      <c r="H16" s="10">
        <f t="shared" si="6"/>
        <v>59780</v>
      </c>
      <c r="I16" s="10">
        <f t="shared" si="6"/>
        <v>86670</v>
      </c>
      <c r="J16" s="10">
        <f t="shared" si="6"/>
        <v>95460</v>
      </c>
      <c r="K16" s="10">
        <f t="shared" si="6"/>
        <v>67580</v>
      </c>
      <c r="L16" s="10">
        <f t="shared" si="6"/>
        <v>60680</v>
      </c>
      <c r="M16" s="10">
        <f t="shared" si="6"/>
        <v>89760</v>
      </c>
      <c r="N16" s="10">
        <f t="shared" si="6"/>
        <v>54780</v>
      </c>
      <c r="O16" s="10">
        <f t="shared" si="6"/>
        <v>83720</v>
      </c>
      <c r="P16" s="10">
        <f t="shared" si="6"/>
        <v>78810</v>
      </c>
      <c r="Q16" s="10">
        <f t="shared" si="6"/>
        <v>81180</v>
      </c>
      <c r="R16" s="10">
        <f t="shared" si="6"/>
        <v>73950</v>
      </c>
      <c r="S16" s="10">
        <f t="shared" si="6"/>
        <v>62400</v>
      </c>
      <c r="T16" s="10">
        <f t="shared" si="6"/>
        <v>52480</v>
      </c>
      <c r="U16" s="10">
        <f t="shared" si="6"/>
        <v>102340</v>
      </c>
      <c r="V16" s="10">
        <f t="shared" si="6"/>
        <v>109200</v>
      </c>
      <c r="W16" s="10">
        <f t="shared" si="6"/>
        <v>49880</v>
      </c>
      <c r="X16" s="10">
        <f t="shared" si="6"/>
        <v>86320</v>
      </c>
      <c r="Y16" s="10">
        <f t="shared" si="6"/>
        <v>88800</v>
      </c>
      <c r="Z16" s="10">
        <f t="shared" si="6"/>
        <v>120150.00000000001</v>
      </c>
      <c r="AA16" s="10">
        <f t="shared" si="6"/>
        <v>72160</v>
      </c>
      <c r="AB16" s="10">
        <f t="shared" si="6"/>
        <v>69600</v>
      </c>
      <c r="AC16" s="10">
        <f t="shared" si="6"/>
        <v>112560</v>
      </c>
      <c r="AD16" s="10">
        <f t="shared" si="6"/>
        <v>68530</v>
      </c>
      <c r="AE16" s="10">
        <f t="shared" si="6"/>
        <v>73140</v>
      </c>
      <c r="AF16" s="10">
        <f t="shared" si="6"/>
        <v>78400</v>
      </c>
      <c r="AG16" s="10">
        <f t="shared" si="6"/>
        <v>98770</v>
      </c>
      <c r="AH16" s="10">
        <f t="shared" si="6"/>
        <v>76560</v>
      </c>
      <c r="AI16" s="10">
        <f t="shared" si="6"/>
        <v>68040</v>
      </c>
      <c r="AJ16" s="10">
        <f t="shared" si="6"/>
        <v>73660</v>
      </c>
      <c r="AK16" s="10">
        <f t="shared" si="6"/>
        <v>83830</v>
      </c>
      <c r="AL16" s="10">
        <f t="shared" si="6"/>
        <v>66150</v>
      </c>
      <c r="AM16" s="10">
        <f t="shared" si="6"/>
        <v>80080</v>
      </c>
      <c r="AN16" s="11">
        <f t="shared" si="6"/>
        <v>93479.999999999985</v>
      </c>
    </row>
    <row r="17" spans="1:40" x14ac:dyDescent="0.3">
      <c r="A17" s="17" t="s">
        <v>10</v>
      </c>
      <c r="B17" s="18">
        <f t="shared" si="4"/>
        <v>850960</v>
      </c>
      <c r="C17" s="19">
        <f>SUM(Q17:AB17)</f>
        <v>968460</v>
      </c>
      <c r="D17" s="19">
        <f>SUM(AC17:AN17)</f>
        <v>973200</v>
      </c>
      <c r="E17" s="20">
        <v>61320</v>
      </c>
      <c r="F17" s="20">
        <v>44000</v>
      </c>
      <c r="G17" s="20">
        <v>68400</v>
      </c>
      <c r="H17" s="20">
        <v>59780</v>
      </c>
      <c r="I17" s="20">
        <v>86670</v>
      </c>
      <c r="J17" s="20">
        <v>95460</v>
      </c>
      <c r="K17" s="20">
        <v>67580</v>
      </c>
      <c r="L17" s="20">
        <v>60680</v>
      </c>
      <c r="M17" s="20">
        <v>89760</v>
      </c>
      <c r="N17" s="20">
        <v>54780</v>
      </c>
      <c r="O17" s="20">
        <v>83720</v>
      </c>
      <c r="P17" s="20">
        <v>78810</v>
      </c>
      <c r="Q17" s="20">
        <v>81180</v>
      </c>
      <c r="R17" s="20">
        <v>73950</v>
      </c>
      <c r="S17" s="20">
        <v>62400</v>
      </c>
      <c r="T17" s="20">
        <v>52480</v>
      </c>
      <c r="U17" s="20">
        <v>102340</v>
      </c>
      <c r="V17" s="20">
        <v>109200</v>
      </c>
      <c r="W17" s="20">
        <v>49880</v>
      </c>
      <c r="X17" s="20">
        <v>86320</v>
      </c>
      <c r="Y17" s="20">
        <v>88800</v>
      </c>
      <c r="Z17" s="20">
        <v>120150.00000000001</v>
      </c>
      <c r="AA17" s="20">
        <v>72160</v>
      </c>
      <c r="AB17" s="20">
        <v>69600</v>
      </c>
      <c r="AC17" s="20">
        <v>112560</v>
      </c>
      <c r="AD17" s="20">
        <v>68530</v>
      </c>
      <c r="AE17" s="20">
        <v>73140</v>
      </c>
      <c r="AF17" s="20">
        <v>78400</v>
      </c>
      <c r="AG17" s="20">
        <v>98770</v>
      </c>
      <c r="AH17" s="20">
        <v>76560</v>
      </c>
      <c r="AI17" s="20">
        <v>68040</v>
      </c>
      <c r="AJ17" s="20">
        <v>73660</v>
      </c>
      <c r="AK17" s="20">
        <v>83830</v>
      </c>
      <c r="AL17" s="20">
        <v>66150</v>
      </c>
      <c r="AM17" s="20">
        <v>80080</v>
      </c>
      <c r="AN17" s="21">
        <v>93479.999999999985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AN17"/>
  <sheetViews>
    <sheetView workbookViewId="0">
      <pane xSplit="1" topLeftCell="B1" activePane="topRight" state="frozen"/>
      <selection activeCell="E8" sqref="E8"/>
      <selection pane="topRight" activeCell="C6" sqref="C6"/>
    </sheetView>
  </sheetViews>
  <sheetFormatPr defaultColWidth="8.77734375" defaultRowHeight="14.4" x14ac:dyDescent="0.3"/>
  <cols>
    <col min="1" max="1" width="18.44140625" style="1" bestFit="1" customWidth="1"/>
    <col min="2" max="4" width="8.88671875" style="1" bestFit="1" customWidth="1"/>
    <col min="5" max="40" width="10.109375" style="1" bestFit="1" customWidth="1"/>
    <col min="41" max="16384" width="8.77734375" style="1"/>
  </cols>
  <sheetData>
    <row r="1" spans="1:40" ht="24" customHeight="1" thickBot="1" x14ac:dyDescent="0.3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16.2" customHeight="1" thickTop="1" x14ac:dyDescent="0.3"/>
    <row r="3" spans="1:40" s="4" customFormat="1" ht="29.4" thickBot="1" x14ac:dyDescent="0.35">
      <c r="A3" s="2" t="s">
        <v>0</v>
      </c>
      <c r="B3" s="3" t="s">
        <v>15</v>
      </c>
      <c r="C3" s="3" t="s">
        <v>16</v>
      </c>
      <c r="D3" s="3" t="s">
        <v>17</v>
      </c>
      <c r="E3" s="23">
        <v>42370</v>
      </c>
      <c r="F3" s="23">
        <v>42401</v>
      </c>
      <c r="G3" s="23">
        <v>42430</v>
      </c>
      <c r="H3" s="23">
        <v>42461</v>
      </c>
      <c r="I3" s="23">
        <v>42491</v>
      </c>
      <c r="J3" s="23">
        <v>42522</v>
      </c>
      <c r="K3" s="23">
        <v>42552</v>
      </c>
      <c r="L3" s="23">
        <v>42583</v>
      </c>
      <c r="M3" s="23">
        <v>42614</v>
      </c>
      <c r="N3" s="23">
        <v>42644</v>
      </c>
      <c r="O3" s="23">
        <v>42675</v>
      </c>
      <c r="P3" s="23">
        <v>42705</v>
      </c>
      <c r="Q3" s="23">
        <v>42736</v>
      </c>
      <c r="R3" s="23">
        <v>42767</v>
      </c>
      <c r="S3" s="23">
        <v>42795</v>
      </c>
      <c r="T3" s="23">
        <v>42826</v>
      </c>
      <c r="U3" s="23">
        <v>42856</v>
      </c>
      <c r="V3" s="23">
        <v>42887</v>
      </c>
      <c r="W3" s="23">
        <v>42917</v>
      </c>
      <c r="X3" s="23">
        <v>42948</v>
      </c>
      <c r="Y3" s="23">
        <v>42979</v>
      </c>
      <c r="Z3" s="23">
        <v>43009</v>
      </c>
      <c r="AA3" s="23">
        <v>43040</v>
      </c>
      <c r="AB3" s="23">
        <v>43070</v>
      </c>
      <c r="AC3" s="23">
        <v>43101</v>
      </c>
      <c r="AD3" s="23">
        <v>43132</v>
      </c>
      <c r="AE3" s="23">
        <v>43160</v>
      </c>
      <c r="AF3" s="23">
        <v>43191</v>
      </c>
      <c r="AG3" s="23">
        <v>43221</v>
      </c>
      <c r="AH3" s="23">
        <v>43252</v>
      </c>
      <c r="AI3" s="23">
        <v>43282</v>
      </c>
      <c r="AJ3" s="23">
        <v>43313</v>
      </c>
      <c r="AK3" s="23">
        <v>43344</v>
      </c>
      <c r="AL3" s="23">
        <v>43374</v>
      </c>
      <c r="AM3" s="23">
        <v>43405</v>
      </c>
      <c r="AN3" s="23">
        <v>43435</v>
      </c>
    </row>
    <row r="4" spans="1:40" ht="24" customHeight="1" thickTop="1" thickBot="1" x14ac:dyDescent="0.35">
      <c r="A4" s="5" t="s">
        <v>18</v>
      </c>
      <c r="B4" s="6">
        <f>B5+B13+B16</f>
        <v>4663691.9575958923</v>
      </c>
      <c r="C4" s="6">
        <f t="shared" ref="C4:AN4" si="0">C5+C13+C16</f>
        <v>4632391.4960861402</v>
      </c>
      <c r="D4" s="6">
        <f t="shared" si="0"/>
        <v>4723403.0734529998</v>
      </c>
      <c r="E4" s="6">
        <f t="shared" si="0"/>
        <v>399904.61408417381</v>
      </c>
      <c r="F4" s="6">
        <f t="shared" si="0"/>
        <v>401164.24786720972</v>
      </c>
      <c r="G4" s="6">
        <f t="shared" si="0"/>
        <v>408818.89275950252</v>
      </c>
      <c r="H4" s="6">
        <f t="shared" si="0"/>
        <v>405261.39338973747</v>
      </c>
      <c r="I4" s="6">
        <f t="shared" si="0"/>
        <v>352876.20351398853</v>
      </c>
      <c r="J4" s="6">
        <f t="shared" si="0"/>
        <v>385151.83105679473</v>
      </c>
      <c r="K4" s="6">
        <f t="shared" si="0"/>
        <v>405841.56787884468</v>
      </c>
      <c r="L4" s="6">
        <f t="shared" si="0"/>
        <v>361964.15780001419</v>
      </c>
      <c r="M4" s="6">
        <f t="shared" si="0"/>
        <v>391843.02783047972</v>
      </c>
      <c r="N4" s="6">
        <f t="shared" si="0"/>
        <v>370018.05380847503</v>
      </c>
      <c r="O4" s="6">
        <f t="shared" si="0"/>
        <v>378853.13712637819</v>
      </c>
      <c r="P4" s="6">
        <f t="shared" si="0"/>
        <v>401994.83048029488</v>
      </c>
      <c r="Q4" s="6">
        <f t="shared" si="0"/>
        <v>333514.12694547401</v>
      </c>
      <c r="R4" s="6">
        <f t="shared" si="0"/>
        <v>368933.70336746762</v>
      </c>
      <c r="S4" s="6">
        <f t="shared" si="0"/>
        <v>337651.2051635118</v>
      </c>
      <c r="T4" s="6">
        <f t="shared" si="0"/>
        <v>378336.15378105349</v>
      </c>
      <c r="U4" s="6">
        <f t="shared" si="0"/>
        <v>404468.46427869925</v>
      </c>
      <c r="V4" s="6">
        <f t="shared" si="0"/>
        <v>438080.57065714925</v>
      </c>
      <c r="W4" s="6">
        <f t="shared" si="0"/>
        <v>385459.57491572766</v>
      </c>
      <c r="X4" s="6">
        <f t="shared" si="0"/>
        <v>444678.98922329809</v>
      </c>
      <c r="Y4" s="6">
        <f t="shared" si="0"/>
        <v>382311.0378773078</v>
      </c>
      <c r="Z4" s="6">
        <f t="shared" si="0"/>
        <v>403711.37401893386</v>
      </c>
      <c r="AA4" s="6">
        <f t="shared" si="0"/>
        <v>354785.79058296815</v>
      </c>
      <c r="AB4" s="6">
        <f t="shared" si="0"/>
        <v>400460.50527454965</v>
      </c>
      <c r="AC4" s="6">
        <f t="shared" si="0"/>
        <v>412885.28100344259</v>
      </c>
      <c r="AD4" s="6">
        <f t="shared" si="0"/>
        <v>405222.76310689445</v>
      </c>
      <c r="AE4" s="6">
        <f t="shared" si="0"/>
        <v>339807.69857258623</v>
      </c>
      <c r="AF4" s="6">
        <f t="shared" si="0"/>
        <v>431314.92429843859</v>
      </c>
      <c r="AG4" s="6">
        <f t="shared" si="0"/>
        <v>397272.61481689895</v>
      </c>
      <c r="AH4" s="6">
        <f t="shared" si="0"/>
        <v>425332.66579831671</v>
      </c>
      <c r="AI4" s="6">
        <f t="shared" si="0"/>
        <v>422850.46375664632</v>
      </c>
      <c r="AJ4" s="6">
        <f t="shared" si="0"/>
        <v>359601.43402530003</v>
      </c>
      <c r="AK4" s="6">
        <f t="shared" si="0"/>
        <v>383336.05303307169</v>
      </c>
      <c r="AL4" s="6">
        <f t="shared" si="0"/>
        <v>327598.89882319327</v>
      </c>
      <c r="AM4" s="6">
        <f t="shared" si="0"/>
        <v>419671.76256823557</v>
      </c>
      <c r="AN4" s="7">
        <f t="shared" si="0"/>
        <v>398508.51364997536</v>
      </c>
    </row>
    <row r="5" spans="1:40" ht="24" customHeight="1" thickBot="1" x14ac:dyDescent="0.35">
      <c r="A5" s="9" t="s">
        <v>12</v>
      </c>
      <c r="B5" s="10">
        <f>SUM(B6:B12)</f>
        <v>3204880.3267066642</v>
      </c>
      <c r="C5" s="10">
        <f t="shared" ref="C5:AN5" si="1">SUM(C6:C12)</f>
        <v>3216617.1022121976</v>
      </c>
      <c r="D5" s="10">
        <f t="shared" si="1"/>
        <v>3258146.0117142983</v>
      </c>
      <c r="E5" s="10">
        <f t="shared" si="1"/>
        <v>276409.92950631899</v>
      </c>
      <c r="F5" s="10">
        <f t="shared" si="1"/>
        <v>287209.29505067528</v>
      </c>
      <c r="G5" s="10">
        <f t="shared" si="1"/>
        <v>299638.13926127844</v>
      </c>
      <c r="H5" s="10">
        <f t="shared" si="1"/>
        <v>288850.26305130962</v>
      </c>
      <c r="I5" s="10">
        <f t="shared" si="1"/>
        <v>236456.84402614241</v>
      </c>
      <c r="J5" s="10">
        <f t="shared" si="1"/>
        <v>254775.24569923559</v>
      </c>
      <c r="K5" s="10">
        <f t="shared" si="1"/>
        <v>272693.28331734583</v>
      </c>
      <c r="L5" s="10">
        <f t="shared" si="1"/>
        <v>248680.02139569019</v>
      </c>
      <c r="M5" s="10">
        <f t="shared" si="1"/>
        <v>262715.72311180929</v>
      </c>
      <c r="N5" s="10">
        <f t="shared" si="1"/>
        <v>258473.77315541651</v>
      </c>
      <c r="O5" s="10">
        <f t="shared" si="1"/>
        <v>258422.89675770386</v>
      </c>
      <c r="P5" s="10">
        <f t="shared" si="1"/>
        <v>260554.91237373868</v>
      </c>
      <c r="Q5" s="10">
        <f t="shared" si="1"/>
        <v>227306.39117288095</v>
      </c>
      <c r="R5" s="10">
        <f t="shared" si="1"/>
        <v>275213.43546886358</v>
      </c>
      <c r="S5" s="10">
        <f t="shared" si="1"/>
        <v>252217.66551089898</v>
      </c>
      <c r="T5" s="10">
        <f t="shared" si="1"/>
        <v>255865.97095802921</v>
      </c>
      <c r="U5" s="10">
        <f t="shared" si="1"/>
        <v>274129.31913564686</v>
      </c>
      <c r="V5" s="10">
        <f t="shared" si="1"/>
        <v>296850.76726538094</v>
      </c>
      <c r="W5" s="10">
        <f t="shared" si="1"/>
        <v>290459.84514223016</v>
      </c>
      <c r="X5" s="10">
        <f t="shared" si="1"/>
        <v>287814.45269168867</v>
      </c>
      <c r="Y5" s="10">
        <f t="shared" si="1"/>
        <v>256832.81172784214</v>
      </c>
      <c r="Z5" s="10">
        <f t="shared" si="1"/>
        <v>249221.4263379458</v>
      </c>
      <c r="AA5" s="10">
        <f t="shared" si="1"/>
        <v>253801.93856281787</v>
      </c>
      <c r="AB5" s="10">
        <f t="shared" si="1"/>
        <v>296903.07823797251</v>
      </c>
      <c r="AC5" s="10">
        <f t="shared" si="1"/>
        <v>283130.5527258729</v>
      </c>
      <c r="AD5" s="10">
        <f t="shared" si="1"/>
        <v>302820.90380021953</v>
      </c>
      <c r="AE5" s="10">
        <f t="shared" si="1"/>
        <v>233143.28298643563</v>
      </c>
      <c r="AF5" s="10">
        <f t="shared" si="1"/>
        <v>280036.51581986801</v>
      </c>
      <c r="AG5" s="10">
        <f t="shared" si="1"/>
        <v>259687.96087823651</v>
      </c>
      <c r="AH5" s="10">
        <f t="shared" si="1"/>
        <v>288590.29326087906</v>
      </c>
      <c r="AI5" s="10">
        <f t="shared" si="1"/>
        <v>300819.93974467728</v>
      </c>
      <c r="AJ5" s="10">
        <f t="shared" si="1"/>
        <v>233239.63077846871</v>
      </c>
      <c r="AK5" s="10">
        <f t="shared" si="1"/>
        <v>278022.86257332593</v>
      </c>
      <c r="AL5" s="10">
        <f t="shared" si="1"/>
        <v>229285.56927657474</v>
      </c>
      <c r="AM5" s="10">
        <f t="shared" si="1"/>
        <v>284281.84330380289</v>
      </c>
      <c r="AN5" s="11">
        <f t="shared" si="1"/>
        <v>285086.65656593745</v>
      </c>
    </row>
    <row r="6" spans="1:40" x14ac:dyDescent="0.3">
      <c r="A6" s="12" t="s">
        <v>1</v>
      </c>
      <c r="B6" s="13">
        <f>SUM(E6:P6)</f>
        <v>491648.2290150412</v>
      </c>
      <c r="C6" s="14">
        <f t="shared" ref="C6:C12" si="2">SUM(Q6:AB6)</f>
        <v>437128.57836001937</v>
      </c>
      <c r="D6" s="14">
        <f t="shared" ref="D6:D12" si="3">SUM(AC6:AN6)</f>
        <v>459646.28820960695</v>
      </c>
      <c r="E6" s="15">
        <v>36549.247937894223</v>
      </c>
      <c r="F6" s="15">
        <v>39068.413391557493</v>
      </c>
      <c r="G6" s="15">
        <v>49956.331877729252</v>
      </c>
      <c r="H6" s="15">
        <v>53126.637554585148</v>
      </c>
      <c r="I6" s="15">
        <v>31212.032993692381</v>
      </c>
      <c r="J6" s="15">
        <v>28885.007278020377</v>
      </c>
      <c r="K6" s="15">
        <v>41694.323144104797</v>
      </c>
      <c r="L6" s="15">
        <v>44795.245026686076</v>
      </c>
      <c r="M6" s="15">
        <v>36650.655021834056</v>
      </c>
      <c r="N6" s="15">
        <v>54039.301310043673</v>
      </c>
      <c r="O6" s="15">
        <v>36474.526928675397</v>
      </c>
      <c r="P6" s="15">
        <v>39196.506550218342</v>
      </c>
      <c r="Q6" s="15">
        <v>24423.095584667633</v>
      </c>
      <c r="R6" s="15">
        <v>36239.689471130521</v>
      </c>
      <c r="S6" s="15">
        <v>29098.495875788449</v>
      </c>
      <c r="T6" s="15">
        <v>45793.304221251819</v>
      </c>
      <c r="U6" s="15">
        <v>26899.563318777291</v>
      </c>
      <c r="V6" s="15">
        <v>46230.95584667637</v>
      </c>
      <c r="W6" s="15">
        <v>38273.168364871424</v>
      </c>
      <c r="X6" s="15">
        <v>24321.6885007278</v>
      </c>
      <c r="Y6" s="15">
        <v>39751.576904415335</v>
      </c>
      <c r="Z6" s="15">
        <v>35161.572052401738</v>
      </c>
      <c r="AA6" s="15">
        <v>42356.137797185824</v>
      </c>
      <c r="AB6" s="15">
        <v>48579.330422125182</v>
      </c>
      <c r="AC6" s="15">
        <v>33122.755943716642</v>
      </c>
      <c r="AD6" s="15">
        <v>35545.851528384279</v>
      </c>
      <c r="AE6" s="15">
        <v>28169.82047549733</v>
      </c>
      <c r="AF6" s="15">
        <v>47821.445900048522</v>
      </c>
      <c r="AG6" s="15">
        <v>28127.12275594371</v>
      </c>
      <c r="AH6" s="15">
        <v>54039.301310043673</v>
      </c>
      <c r="AI6" s="15">
        <v>53703.056768558949</v>
      </c>
      <c r="AJ6" s="15">
        <v>27673.459485686559</v>
      </c>
      <c r="AK6" s="15">
        <v>34104.803493449785</v>
      </c>
      <c r="AL6" s="15">
        <v>33064.046579330425</v>
      </c>
      <c r="AM6" s="15">
        <v>50137.797185832118</v>
      </c>
      <c r="AN6" s="16">
        <v>34136.826783114986</v>
      </c>
    </row>
    <row r="7" spans="1:40" x14ac:dyDescent="0.3">
      <c r="A7" s="17" t="s">
        <v>2</v>
      </c>
      <c r="B7" s="18">
        <f t="shared" ref="B7:B17" si="4">SUM(E7:P7)</f>
        <v>428761.06071179343</v>
      </c>
      <c r="C7" s="19">
        <f t="shared" si="2"/>
        <v>455779.06489881367</v>
      </c>
      <c r="D7" s="19">
        <f t="shared" si="3"/>
        <v>461831.26308443822</v>
      </c>
      <c r="E7" s="20">
        <v>31087.229588276343</v>
      </c>
      <c r="F7" s="20">
        <v>32719.05094207955</v>
      </c>
      <c r="G7" s="20">
        <v>45443.126308443832</v>
      </c>
      <c r="H7" s="20">
        <v>41084.71737613398</v>
      </c>
      <c r="I7" s="20">
        <v>26253.733426378225</v>
      </c>
      <c r="J7" s="20">
        <v>29279.83251919051</v>
      </c>
      <c r="K7" s="20">
        <v>40031.263084438244</v>
      </c>
      <c r="L7" s="20">
        <v>34335.380321004886</v>
      </c>
      <c r="M7" s="20">
        <v>27472.435450104673</v>
      </c>
      <c r="N7" s="20">
        <v>45443.126308443832</v>
      </c>
      <c r="O7" s="20">
        <v>40666.434054431258</v>
      </c>
      <c r="P7" s="20">
        <v>34944.731332868105</v>
      </c>
      <c r="Q7" s="20">
        <v>34717.515701325887</v>
      </c>
      <c r="R7" s="20">
        <v>36793.440334961619</v>
      </c>
      <c r="S7" s="20">
        <v>38569.853454291697</v>
      </c>
      <c r="T7" s="20">
        <v>35042.847173761336</v>
      </c>
      <c r="U7" s="20">
        <v>35941.381716678297</v>
      </c>
      <c r="V7" s="20">
        <v>27885.554780181439</v>
      </c>
      <c r="W7" s="20">
        <v>27431.123517096996</v>
      </c>
      <c r="X7" s="20">
        <v>57506.210746685276</v>
      </c>
      <c r="Y7" s="20">
        <v>47353.803210048849</v>
      </c>
      <c r="Z7" s="20">
        <v>40263.642707606414</v>
      </c>
      <c r="AA7" s="20">
        <v>35647.034193998603</v>
      </c>
      <c r="AB7" s="20">
        <v>38626.657362177248</v>
      </c>
      <c r="AC7" s="20">
        <v>29847.871598046055</v>
      </c>
      <c r="AD7" s="20">
        <v>52982.55408234473</v>
      </c>
      <c r="AE7" s="20">
        <v>31200.837404047448</v>
      </c>
      <c r="AF7" s="20">
        <v>46527.564549895324</v>
      </c>
      <c r="AG7" s="20">
        <v>39943.475226796931</v>
      </c>
      <c r="AH7" s="20">
        <v>28753.105373342634</v>
      </c>
      <c r="AI7" s="20">
        <v>46723.796231681787</v>
      </c>
      <c r="AJ7" s="20">
        <v>30075.087229588273</v>
      </c>
      <c r="AK7" s="20">
        <v>30612.142358688066</v>
      </c>
      <c r="AL7" s="20">
        <v>34733.007676203764</v>
      </c>
      <c r="AM7" s="20">
        <v>41518.492672714587</v>
      </c>
      <c r="AN7" s="21">
        <v>48913.32868108862</v>
      </c>
    </row>
    <row r="8" spans="1:40" x14ac:dyDescent="0.3">
      <c r="A8" s="17" t="s">
        <v>3</v>
      </c>
      <c r="B8" s="18">
        <f t="shared" si="4"/>
        <v>423996.8900637537</v>
      </c>
      <c r="C8" s="19">
        <f t="shared" si="2"/>
        <v>456057.84481418127</v>
      </c>
      <c r="D8" s="19">
        <f t="shared" si="3"/>
        <v>474428.23822111648</v>
      </c>
      <c r="E8" s="20">
        <v>34482.973099051473</v>
      </c>
      <c r="F8" s="20">
        <v>48599.440211475667</v>
      </c>
      <c r="G8" s="20">
        <v>39691.338827554035</v>
      </c>
      <c r="H8" s="20">
        <v>30357.331674700672</v>
      </c>
      <c r="I8" s="20">
        <v>25000.155496812313</v>
      </c>
      <c r="J8" s="20">
        <v>40127.507386098587</v>
      </c>
      <c r="K8" s="20">
        <v>38608.61452340227</v>
      </c>
      <c r="L8" s="20">
        <v>27873.736588399937</v>
      </c>
      <c r="M8" s="20">
        <v>29464.468978385943</v>
      </c>
      <c r="N8" s="20">
        <v>26652.4646244752</v>
      </c>
      <c r="O8" s="20">
        <v>46695.692738298872</v>
      </c>
      <c r="P8" s="20">
        <v>36443.165915098747</v>
      </c>
      <c r="Q8" s="20">
        <v>30459.9595708288</v>
      </c>
      <c r="R8" s="20">
        <v>36453.428704711558</v>
      </c>
      <c r="S8" s="20">
        <v>34380.345202923338</v>
      </c>
      <c r="T8" s="20">
        <v>48029.855387964548</v>
      </c>
      <c r="U8" s="20">
        <v>40630.384077126422</v>
      </c>
      <c r="V8" s="20">
        <v>36453.42870471155</v>
      </c>
      <c r="W8" s="20">
        <v>41944.021147566469</v>
      </c>
      <c r="X8" s="20">
        <v>40301.97480951641</v>
      </c>
      <c r="Y8" s="20">
        <v>40568.807339449537</v>
      </c>
      <c r="Z8" s="20">
        <v>40332.763178354842</v>
      </c>
      <c r="AA8" s="20">
        <v>24384.388120043539</v>
      </c>
      <c r="AB8" s="20">
        <v>42118.488570984293</v>
      </c>
      <c r="AC8" s="20">
        <v>47290.934535842018</v>
      </c>
      <c r="AD8" s="20">
        <v>43616.855854454989</v>
      </c>
      <c r="AE8" s="20">
        <v>30152.075882444409</v>
      </c>
      <c r="AF8" s="20">
        <v>33354.066241642053</v>
      </c>
      <c r="AG8" s="20">
        <v>49364.018037630231</v>
      </c>
      <c r="AH8" s="20">
        <v>45258.902192505055</v>
      </c>
      <c r="AI8" s="20">
        <v>31142.435080080857</v>
      </c>
      <c r="AJ8" s="20">
        <v>50569.895817135752</v>
      </c>
      <c r="AK8" s="20">
        <v>32019.90359197637</v>
      </c>
      <c r="AL8" s="20">
        <v>40230.135282226714</v>
      </c>
      <c r="AM8" s="20">
        <v>25595.397294355465</v>
      </c>
      <c r="AN8" s="21">
        <v>45833.618410822579</v>
      </c>
    </row>
    <row r="9" spans="1:40" x14ac:dyDescent="0.3">
      <c r="A9" s="17" t="s">
        <v>4</v>
      </c>
      <c r="B9" s="18">
        <f t="shared" si="4"/>
        <v>504203.49854227412</v>
      </c>
      <c r="C9" s="19">
        <f t="shared" si="2"/>
        <v>494814.28571428574</v>
      </c>
      <c r="D9" s="19">
        <f t="shared" si="3"/>
        <v>467294.75218658888</v>
      </c>
      <c r="E9" s="20">
        <v>53443.731778425667</v>
      </c>
      <c r="F9" s="20">
        <v>43472.886297376106</v>
      </c>
      <c r="G9" s="20">
        <v>58329.446064139949</v>
      </c>
      <c r="H9" s="20">
        <v>30089.795918367352</v>
      </c>
      <c r="I9" s="20">
        <v>52346.938775510207</v>
      </c>
      <c r="J9" s="20">
        <v>41129.737609329444</v>
      </c>
      <c r="K9" s="20">
        <v>38110.787172011667</v>
      </c>
      <c r="L9" s="20">
        <v>35784.256559766771</v>
      </c>
      <c r="M9" s="20">
        <v>45367.346938775518</v>
      </c>
      <c r="N9" s="20">
        <v>36255.102040816331</v>
      </c>
      <c r="O9" s="20">
        <v>27630.32069970846</v>
      </c>
      <c r="P9" s="20">
        <v>42243.148688046655</v>
      </c>
      <c r="Q9" s="20">
        <v>33851.020408163262</v>
      </c>
      <c r="R9" s="20">
        <v>51765.306122448987</v>
      </c>
      <c r="S9" s="20">
        <v>27918.36734693878</v>
      </c>
      <c r="T9" s="20">
        <v>33313.702623906705</v>
      </c>
      <c r="U9" s="20">
        <v>47860.058309037908</v>
      </c>
      <c r="V9" s="20">
        <v>60722.448979591842</v>
      </c>
      <c r="W9" s="20">
        <v>43871.720116618075</v>
      </c>
      <c r="X9" s="20">
        <v>43655.685131195336</v>
      </c>
      <c r="Y9" s="20">
        <v>30710.204081632652</v>
      </c>
      <c r="Z9" s="20">
        <v>27918.36734693878</v>
      </c>
      <c r="AA9" s="20">
        <v>43672.303206997094</v>
      </c>
      <c r="AB9" s="20">
        <v>49555.102040816324</v>
      </c>
      <c r="AC9" s="20">
        <v>40492.711370262397</v>
      </c>
      <c r="AD9" s="20">
        <v>43639.067055393592</v>
      </c>
      <c r="AE9" s="20">
        <v>35462.973760932946</v>
      </c>
      <c r="AF9" s="20">
        <v>35828.571428571428</v>
      </c>
      <c r="AG9" s="20">
        <v>26987.755102040821</v>
      </c>
      <c r="AH9" s="20">
        <v>42575.510204081635</v>
      </c>
      <c r="AI9" s="20">
        <v>41046.647230320697</v>
      </c>
      <c r="AJ9" s="20">
        <v>39711.661807580174</v>
      </c>
      <c r="AK9" s="20">
        <v>39063.556851311951</v>
      </c>
      <c r="AL9" s="20">
        <v>33346.938775510207</v>
      </c>
      <c r="AM9" s="20">
        <v>40481.632653061228</v>
      </c>
      <c r="AN9" s="21">
        <v>48657.725947521874</v>
      </c>
    </row>
    <row r="10" spans="1:40" x14ac:dyDescent="0.3">
      <c r="A10" s="17" t="s">
        <v>5</v>
      </c>
      <c r="B10" s="18">
        <f t="shared" si="4"/>
        <v>407931.16279069765</v>
      </c>
      <c r="C10" s="19">
        <f t="shared" si="2"/>
        <v>423264.65116279072</v>
      </c>
      <c r="D10" s="19">
        <f t="shared" si="3"/>
        <v>426871.62790697673</v>
      </c>
      <c r="E10" s="20">
        <v>42224.651162790695</v>
      </c>
      <c r="F10" s="20">
        <v>40520.930232558145</v>
      </c>
      <c r="G10" s="20">
        <v>27397.674418604653</v>
      </c>
      <c r="H10" s="20">
        <v>46916.279069767443</v>
      </c>
      <c r="I10" s="20">
        <v>31127.441860465115</v>
      </c>
      <c r="J10" s="20">
        <v>25786.046511627908</v>
      </c>
      <c r="K10" s="20">
        <v>26328.372093023252</v>
      </c>
      <c r="L10" s="20">
        <v>31521.395348837206</v>
      </c>
      <c r="M10" s="20">
        <v>41237.20930232558</v>
      </c>
      <c r="N10" s="20">
        <v>25786.046511627908</v>
      </c>
      <c r="O10" s="20">
        <v>28472.093023255817</v>
      </c>
      <c r="P10" s="20">
        <v>40613.023255813954</v>
      </c>
      <c r="Q10" s="20">
        <v>29162.790697674416</v>
      </c>
      <c r="R10" s="20">
        <v>33890.232558139534</v>
      </c>
      <c r="S10" s="20">
        <v>38372.093023255817</v>
      </c>
      <c r="T10" s="20">
        <v>31127.441860465115</v>
      </c>
      <c r="U10" s="20">
        <v>39958.139534883725</v>
      </c>
      <c r="V10" s="20">
        <v>36468.837209302321</v>
      </c>
      <c r="W10" s="20">
        <v>48993.488372093023</v>
      </c>
      <c r="X10" s="20">
        <v>50354.418604651168</v>
      </c>
      <c r="Y10" s="20">
        <v>27295.348837209302</v>
      </c>
      <c r="Z10" s="20">
        <v>26799.069767441859</v>
      </c>
      <c r="AA10" s="20">
        <v>30390.697674418607</v>
      </c>
      <c r="AB10" s="20">
        <v>30452.093023255813</v>
      </c>
      <c r="AC10" s="20">
        <v>42843.720930232557</v>
      </c>
      <c r="AD10" s="20">
        <v>31838.60465116279</v>
      </c>
      <c r="AE10" s="20">
        <v>27372.093023255817</v>
      </c>
      <c r="AF10" s="20">
        <v>35015.813953488367</v>
      </c>
      <c r="AG10" s="20">
        <v>33532.093023255809</v>
      </c>
      <c r="AH10" s="20">
        <v>32299.069767441859</v>
      </c>
      <c r="AI10" s="20">
        <v>46276.744186046519</v>
      </c>
      <c r="AJ10" s="20">
        <v>29024.651162790698</v>
      </c>
      <c r="AK10" s="20">
        <v>41871.627906976741</v>
      </c>
      <c r="AL10" s="20">
        <v>25141.39534883721</v>
      </c>
      <c r="AM10" s="20">
        <v>48502.325581395344</v>
      </c>
      <c r="AN10" s="21">
        <v>33153.488372093023</v>
      </c>
    </row>
    <row r="11" spans="1:40" x14ac:dyDescent="0.3">
      <c r="A11" s="17" t="s">
        <v>6</v>
      </c>
      <c r="B11" s="18">
        <f t="shared" si="4"/>
        <v>448091.68241965969</v>
      </c>
      <c r="C11" s="19">
        <f t="shared" si="2"/>
        <v>482878.4769106129</v>
      </c>
      <c r="D11" s="19">
        <f t="shared" si="3"/>
        <v>433958.14204698888</v>
      </c>
      <c r="E11" s="20">
        <v>34761.814744801508</v>
      </c>
      <c r="F11" s="20">
        <v>37689.440993788819</v>
      </c>
      <c r="G11" s="20">
        <v>42535.511747231969</v>
      </c>
      <c r="H11" s="20">
        <v>49235.079665136378</v>
      </c>
      <c r="I11" s="20">
        <v>30460.302457466914</v>
      </c>
      <c r="J11" s="20">
        <v>28117.202268430996</v>
      </c>
      <c r="K11" s="20">
        <v>49240.075614366731</v>
      </c>
      <c r="L11" s="20">
        <v>35061.571698622734</v>
      </c>
      <c r="M11" s="20">
        <v>36875.101269241153</v>
      </c>
      <c r="N11" s="20">
        <v>32148.933297326486</v>
      </c>
      <c r="O11" s="20">
        <v>42540.507696462322</v>
      </c>
      <c r="P11" s="20">
        <v>29426.140966783685</v>
      </c>
      <c r="Q11" s="20">
        <v>26328.652443964351</v>
      </c>
      <c r="R11" s="20">
        <v>41006.751282743717</v>
      </c>
      <c r="S11" s="20">
        <v>49739.670537402104</v>
      </c>
      <c r="T11" s="20">
        <v>30045.638671347551</v>
      </c>
      <c r="U11" s="20">
        <v>40117.472319740751</v>
      </c>
      <c r="V11" s="20">
        <v>53027.005130974874</v>
      </c>
      <c r="W11" s="20">
        <v>45338.239265460434</v>
      </c>
      <c r="X11" s="20">
        <v>40082.500675128264</v>
      </c>
      <c r="Y11" s="20">
        <v>33183.094788009716</v>
      </c>
      <c r="Z11" s="20">
        <v>45972.724817715367</v>
      </c>
      <c r="AA11" s="20">
        <v>32873.345935727782</v>
      </c>
      <c r="AB11" s="20">
        <v>45163.381042398047</v>
      </c>
      <c r="AC11" s="20">
        <v>38703.618687550632</v>
      </c>
      <c r="AD11" s="20">
        <v>39567.917904401838</v>
      </c>
      <c r="AE11" s="20">
        <v>32698.487712665403</v>
      </c>
      <c r="AF11" s="20">
        <v>43015.122873345928</v>
      </c>
      <c r="AG11" s="20">
        <v>45952.741020793954</v>
      </c>
      <c r="AH11" s="20">
        <v>23905.617067242772</v>
      </c>
      <c r="AI11" s="20">
        <v>28876.586551444772</v>
      </c>
      <c r="AJ11" s="20">
        <v>27053.065082365643</v>
      </c>
      <c r="AK11" s="20">
        <v>50583.985957331897</v>
      </c>
      <c r="AL11" s="20">
        <v>22941.398865784497</v>
      </c>
      <c r="AM11" s="20">
        <v>42845.260599513902</v>
      </c>
      <c r="AN11" s="21">
        <v>37814.339724547659</v>
      </c>
    </row>
    <row r="12" spans="1:40" ht="15" thickBot="1" x14ac:dyDescent="0.35">
      <c r="A12" s="17" t="s">
        <v>7</v>
      </c>
      <c r="B12" s="18">
        <f t="shared" si="4"/>
        <v>500247.80316344468</v>
      </c>
      <c r="C12" s="19">
        <f t="shared" si="2"/>
        <v>466694.2003514939</v>
      </c>
      <c r="D12" s="19">
        <f t="shared" si="3"/>
        <v>534115.70005858236</v>
      </c>
      <c r="E12" s="20">
        <v>43860.281195079086</v>
      </c>
      <c r="F12" s="20">
        <v>45139.132981839488</v>
      </c>
      <c r="G12" s="20">
        <v>36284.710017574696</v>
      </c>
      <c r="H12" s="20">
        <v>38040.421792618639</v>
      </c>
      <c r="I12" s="20">
        <v>40056.239015817227</v>
      </c>
      <c r="J12" s="20">
        <v>61449.912126537798</v>
      </c>
      <c r="K12" s="20">
        <v>38679.84768599883</v>
      </c>
      <c r="L12" s="20">
        <v>39308.435852372582</v>
      </c>
      <c r="M12" s="20">
        <v>45648.506151142363</v>
      </c>
      <c r="N12" s="20">
        <v>38148.799062683072</v>
      </c>
      <c r="O12" s="20">
        <v>35943.321616871712</v>
      </c>
      <c r="P12" s="20">
        <v>37688.19566490921</v>
      </c>
      <c r="Q12" s="20">
        <v>48363.356766256598</v>
      </c>
      <c r="R12" s="20">
        <v>39064.586994727601</v>
      </c>
      <c r="S12" s="20">
        <v>34138.840070298771</v>
      </c>
      <c r="T12" s="20">
        <v>32513.181019332165</v>
      </c>
      <c r="U12" s="20">
        <v>42722.319859402465</v>
      </c>
      <c r="V12" s="20">
        <v>36062.53661394259</v>
      </c>
      <c r="W12" s="20">
        <v>44608.084358523731</v>
      </c>
      <c r="X12" s="20">
        <v>31591.974223784422</v>
      </c>
      <c r="Y12" s="20">
        <v>37969.976567076752</v>
      </c>
      <c r="Z12" s="20">
        <v>32773.286467486818</v>
      </c>
      <c r="AA12" s="20">
        <v>44478.031634446408</v>
      </c>
      <c r="AB12" s="20">
        <v>42408.025776215589</v>
      </c>
      <c r="AC12" s="20">
        <v>50828.939660222619</v>
      </c>
      <c r="AD12" s="20">
        <v>55630.05272407733</v>
      </c>
      <c r="AE12" s="20">
        <v>48086.994727592275</v>
      </c>
      <c r="AF12" s="20">
        <v>38473.930872876394</v>
      </c>
      <c r="AG12" s="20">
        <v>35780.755711775048</v>
      </c>
      <c r="AH12" s="20">
        <v>61758.787346221448</v>
      </c>
      <c r="AI12" s="20">
        <v>53050.67369654365</v>
      </c>
      <c r="AJ12" s="20">
        <v>29131.810193321617</v>
      </c>
      <c r="AK12" s="20">
        <v>49766.842413591112</v>
      </c>
      <c r="AL12" s="20">
        <v>39828.646748681902</v>
      </c>
      <c r="AM12" s="20">
        <v>35200.937316930293</v>
      </c>
      <c r="AN12" s="21">
        <v>36577.328646748691</v>
      </c>
    </row>
    <row r="13" spans="1:40" ht="24" customHeight="1" thickBot="1" x14ac:dyDescent="0.35">
      <c r="A13" s="9" t="s">
        <v>14</v>
      </c>
      <c r="B13" s="10">
        <f>SUM(B14:B15)</f>
        <v>1028232.6695044086</v>
      </c>
      <c r="C13" s="10">
        <f t="shared" ref="C13:AN13" si="5">SUM(C14:C15)</f>
        <v>925741.3712374582</v>
      </c>
      <c r="D13" s="10">
        <f t="shared" si="5"/>
        <v>972825.63697172399</v>
      </c>
      <c r="E13" s="10">
        <f t="shared" si="5"/>
        <v>92467.254484645789</v>
      </c>
      <c r="F13" s="10">
        <f t="shared" si="5"/>
        <v>91691.304347826081</v>
      </c>
      <c r="G13" s="10">
        <f t="shared" si="5"/>
        <v>74570.89996959563</v>
      </c>
      <c r="H13" s="10">
        <f t="shared" si="5"/>
        <v>86162.92794162358</v>
      </c>
      <c r="I13" s="10">
        <f t="shared" si="5"/>
        <v>72565.031924597133</v>
      </c>
      <c r="J13" s="10">
        <f t="shared" si="5"/>
        <v>82074.588020674972</v>
      </c>
      <c r="K13" s="10">
        <f t="shared" si="5"/>
        <v>98953.344481605352</v>
      </c>
      <c r="L13" s="10">
        <f t="shared" si="5"/>
        <v>82580.5411979325</v>
      </c>
      <c r="M13" s="10">
        <f t="shared" si="5"/>
        <v>83709.46184250532</v>
      </c>
      <c r="N13" s="10">
        <f t="shared" si="5"/>
        <v>83826.03830951656</v>
      </c>
      <c r="O13" s="10">
        <f t="shared" si="5"/>
        <v>78068.589236850094</v>
      </c>
      <c r="P13" s="10">
        <f t="shared" si="5"/>
        <v>101562.68774703555</v>
      </c>
      <c r="Q13" s="10">
        <f t="shared" si="5"/>
        <v>65131.304347826081</v>
      </c>
      <c r="R13" s="10">
        <f t="shared" si="5"/>
        <v>56302.158710854361</v>
      </c>
      <c r="S13" s="10">
        <f t="shared" si="5"/>
        <v>53859.638187899058</v>
      </c>
      <c r="T13" s="10">
        <f t="shared" si="5"/>
        <v>95915.722103982975</v>
      </c>
      <c r="U13" s="10">
        <f t="shared" si="5"/>
        <v>78555.922772879305</v>
      </c>
      <c r="V13" s="10">
        <f t="shared" si="5"/>
        <v>85975.475828519309</v>
      </c>
      <c r="W13" s="10">
        <f t="shared" si="5"/>
        <v>69760.848282152627</v>
      </c>
      <c r="X13" s="10">
        <f t="shared" si="5"/>
        <v>113187.30617208878</v>
      </c>
      <c r="Y13" s="10">
        <f t="shared" si="5"/>
        <v>80546.135603526898</v>
      </c>
      <c r="Z13" s="10">
        <f t="shared" si="5"/>
        <v>93695.007601094563</v>
      </c>
      <c r="AA13" s="10">
        <f t="shared" si="5"/>
        <v>64471.468531468527</v>
      </c>
      <c r="AB13" s="10">
        <f t="shared" si="5"/>
        <v>68340.383095165715</v>
      </c>
      <c r="AC13" s="10">
        <f t="shared" si="5"/>
        <v>72800.267558528431</v>
      </c>
      <c r="AD13" s="10">
        <f t="shared" si="5"/>
        <v>67726.226816661598</v>
      </c>
      <c r="AE13" s="10">
        <f t="shared" si="5"/>
        <v>69656.159927029483</v>
      </c>
      <c r="AF13" s="10">
        <f t="shared" si="5"/>
        <v>111608.63484341746</v>
      </c>
      <c r="AG13" s="10">
        <f t="shared" si="5"/>
        <v>87607.823046518693</v>
      </c>
      <c r="AH13" s="10">
        <f t="shared" si="5"/>
        <v>98003.624201885075</v>
      </c>
      <c r="AI13" s="10">
        <f t="shared" si="5"/>
        <v>87602.827607175452</v>
      </c>
      <c r="AJ13" s="10">
        <f t="shared" si="5"/>
        <v>89090.431742170869</v>
      </c>
      <c r="AK13" s="10">
        <f t="shared" si="5"/>
        <v>62895.880206749775</v>
      </c>
      <c r="AL13" s="10">
        <f t="shared" si="5"/>
        <v>64841.958041958045</v>
      </c>
      <c r="AM13" s="10">
        <f t="shared" si="5"/>
        <v>94870.079051383393</v>
      </c>
      <c r="AN13" s="11">
        <f t="shared" si="5"/>
        <v>66121.723928245672</v>
      </c>
    </row>
    <row r="14" spans="1:40" x14ac:dyDescent="0.3">
      <c r="A14" s="17" t="s">
        <v>8</v>
      </c>
      <c r="B14" s="18">
        <f t="shared" si="4"/>
        <v>526535.11705685616</v>
      </c>
      <c r="C14" s="19">
        <f>SUM(Q14:AB14)</f>
        <v>488260.60200668901</v>
      </c>
      <c r="D14" s="19">
        <f>SUM(AC14:AN14)</f>
        <v>490014.44816053513</v>
      </c>
      <c r="E14" s="20">
        <v>48243.478260869568</v>
      </c>
      <c r="F14" s="20">
        <v>54191.304347826088</v>
      </c>
      <c r="G14" s="20">
        <v>36866.354515050167</v>
      </c>
      <c r="H14" s="20">
        <v>40140.200668896316</v>
      </c>
      <c r="I14" s="20">
        <v>37933.913043478256</v>
      </c>
      <c r="J14" s="20">
        <v>34599.0635451505</v>
      </c>
      <c r="K14" s="20">
        <v>55741.806020066892</v>
      </c>
      <c r="L14" s="20">
        <v>49412.709030100341</v>
      </c>
      <c r="M14" s="20">
        <v>37293.37792642141</v>
      </c>
      <c r="N14" s="20">
        <v>49168.695652173912</v>
      </c>
      <c r="O14" s="20">
        <v>33409.498327759196</v>
      </c>
      <c r="P14" s="20">
        <v>49534.715719063541</v>
      </c>
      <c r="Q14" s="20">
        <v>35015.919732441471</v>
      </c>
      <c r="R14" s="20">
        <v>28798.662207357862</v>
      </c>
      <c r="S14" s="20">
        <v>27095.652173913044</v>
      </c>
      <c r="T14" s="20">
        <v>55274.113712374587</v>
      </c>
      <c r="U14" s="20">
        <v>39875.85284280937</v>
      </c>
      <c r="V14" s="20">
        <v>55650.301003344481</v>
      </c>
      <c r="W14" s="20">
        <v>39367.491638795982</v>
      </c>
      <c r="X14" s="20">
        <v>57902.341137123753</v>
      </c>
      <c r="Y14" s="20">
        <v>33511.170568561873</v>
      </c>
      <c r="Z14" s="20">
        <v>55177.525083612047</v>
      </c>
      <c r="AA14" s="20">
        <v>30516.923076923078</v>
      </c>
      <c r="AB14" s="20">
        <v>30074.64882943144</v>
      </c>
      <c r="AC14" s="20">
        <v>36800.267558528431</v>
      </c>
      <c r="AD14" s="20">
        <v>34558.394648829431</v>
      </c>
      <c r="AE14" s="20">
        <v>31584.481605351175</v>
      </c>
      <c r="AF14" s="20">
        <v>57902.341137123753</v>
      </c>
      <c r="AG14" s="20">
        <v>45518.662207357862</v>
      </c>
      <c r="AH14" s="20">
        <v>41360.267558528431</v>
      </c>
      <c r="AI14" s="20">
        <v>54445.484949832782</v>
      </c>
      <c r="AJ14" s="20">
        <v>44578.193979933108</v>
      </c>
      <c r="AK14" s="20">
        <v>25621.404682274249</v>
      </c>
      <c r="AL14" s="20">
        <v>31569.23076923077</v>
      </c>
      <c r="AM14" s="20">
        <v>53515.183946488294</v>
      </c>
      <c r="AN14" s="21">
        <v>32560.535117056857</v>
      </c>
    </row>
    <row r="15" spans="1:40" ht="15" thickBot="1" x14ac:dyDescent="0.35">
      <c r="A15" s="17" t="s">
        <v>9</v>
      </c>
      <c r="B15" s="18">
        <f t="shared" si="4"/>
        <v>501697.55244755244</v>
      </c>
      <c r="C15" s="19">
        <f>SUM(Q15:AB15)</f>
        <v>437480.76923076925</v>
      </c>
      <c r="D15" s="19">
        <f>SUM(AC15:AN15)</f>
        <v>482811.1888111888</v>
      </c>
      <c r="E15" s="20">
        <v>44223.776223776222</v>
      </c>
      <c r="F15" s="20">
        <v>37500</v>
      </c>
      <c r="G15" s="20">
        <v>37704.545454545456</v>
      </c>
      <c r="H15" s="20">
        <v>46022.727272727265</v>
      </c>
      <c r="I15" s="20">
        <v>34631.118881118884</v>
      </c>
      <c r="J15" s="20">
        <v>47475.524475524471</v>
      </c>
      <c r="K15" s="20">
        <v>43211.538461538461</v>
      </c>
      <c r="L15" s="20">
        <v>33167.832167832166</v>
      </c>
      <c r="M15" s="20">
        <v>46416.08391608391</v>
      </c>
      <c r="N15" s="20">
        <v>34657.342657342655</v>
      </c>
      <c r="O15" s="20">
        <v>44659.090909090904</v>
      </c>
      <c r="P15" s="20">
        <v>52027.97202797202</v>
      </c>
      <c r="Q15" s="20">
        <v>30115.384615384613</v>
      </c>
      <c r="R15" s="20">
        <v>27503.496503496503</v>
      </c>
      <c r="S15" s="20">
        <v>26763.986013986014</v>
      </c>
      <c r="T15" s="20">
        <v>40641.608391608388</v>
      </c>
      <c r="U15" s="20">
        <v>38680.069930069934</v>
      </c>
      <c r="V15" s="20">
        <v>30325.174825174825</v>
      </c>
      <c r="W15" s="20">
        <v>30393.356643356641</v>
      </c>
      <c r="X15" s="20">
        <v>55284.965034965033</v>
      </c>
      <c r="Y15" s="20">
        <v>47034.965034965033</v>
      </c>
      <c r="Z15" s="20">
        <v>38517.482517482516</v>
      </c>
      <c r="AA15" s="20">
        <v>33954.545454545449</v>
      </c>
      <c r="AB15" s="20">
        <v>38265.734265734267</v>
      </c>
      <c r="AC15" s="20">
        <v>35999.999999999993</v>
      </c>
      <c r="AD15" s="20">
        <v>33167.832167832166</v>
      </c>
      <c r="AE15" s="20">
        <v>38071.678321678315</v>
      </c>
      <c r="AF15" s="20">
        <v>53706.293706293705</v>
      </c>
      <c r="AG15" s="20">
        <v>42089.160839160839</v>
      </c>
      <c r="AH15" s="20">
        <v>56643.356643356645</v>
      </c>
      <c r="AI15" s="20">
        <v>33157.342657342662</v>
      </c>
      <c r="AJ15" s="20">
        <v>44512.237762237761</v>
      </c>
      <c r="AK15" s="20">
        <v>37274.475524475529</v>
      </c>
      <c r="AL15" s="20">
        <v>33272.727272727272</v>
      </c>
      <c r="AM15" s="20">
        <v>41354.895104895098</v>
      </c>
      <c r="AN15" s="21">
        <v>33561.188811188811</v>
      </c>
    </row>
    <row r="16" spans="1:40" ht="24" customHeight="1" thickBot="1" x14ac:dyDescent="0.35">
      <c r="A16" s="9" t="s">
        <v>13</v>
      </c>
      <c r="B16" s="10">
        <f t="shared" ref="B16:AN16" si="6">SUM(B17:B17)</f>
        <v>430578.96138482023</v>
      </c>
      <c r="C16" s="10">
        <f t="shared" si="6"/>
        <v>490033.02263648459</v>
      </c>
      <c r="D16" s="10">
        <f t="shared" si="6"/>
        <v>492431.42476697732</v>
      </c>
      <c r="E16" s="10">
        <f t="shared" si="6"/>
        <v>31027.430093209055</v>
      </c>
      <c r="F16" s="10">
        <f t="shared" si="6"/>
        <v>22263.64846870839</v>
      </c>
      <c r="G16" s="10">
        <f t="shared" si="6"/>
        <v>34609.85352862849</v>
      </c>
      <c r="H16" s="10">
        <f t="shared" si="6"/>
        <v>30248.202396804259</v>
      </c>
      <c r="I16" s="10">
        <f t="shared" si="6"/>
        <v>43854.327563249004</v>
      </c>
      <c r="J16" s="10">
        <f t="shared" si="6"/>
        <v>48301.997336884153</v>
      </c>
      <c r="K16" s="10">
        <f t="shared" si="6"/>
        <v>34194.94007989348</v>
      </c>
      <c r="L16" s="10">
        <f t="shared" si="6"/>
        <v>30703.595206391474</v>
      </c>
      <c r="M16" s="10">
        <f t="shared" si="6"/>
        <v>45417.842876165116</v>
      </c>
      <c r="N16" s="10">
        <f t="shared" si="6"/>
        <v>27718.24234354194</v>
      </c>
      <c r="O16" s="10">
        <f t="shared" si="6"/>
        <v>42361.651131824234</v>
      </c>
      <c r="P16" s="10">
        <f t="shared" si="6"/>
        <v>39877.230359520647</v>
      </c>
      <c r="Q16" s="10">
        <f t="shared" si="6"/>
        <v>41076.431424766975</v>
      </c>
      <c r="R16" s="10">
        <f t="shared" si="6"/>
        <v>37418.109187749666</v>
      </c>
      <c r="S16" s="10">
        <f t="shared" si="6"/>
        <v>31573.901464713716</v>
      </c>
      <c r="T16" s="10">
        <f t="shared" si="6"/>
        <v>26554.460719041275</v>
      </c>
      <c r="U16" s="10">
        <f t="shared" si="6"/>
        <v>51783.222370173098</v>
      </c>
      <c r="V16" s="10">
        <f t="shared" si="6"/>
        <v>55254.327563249004</v>
      </c>
      <c r="W16" s="10">
        <f t="shared" si="6"/>
        <v>25238.88149134487</v>
      </c>
      <c r="X16" s="10">
        <f t="shared" si="6"/>
        <v>43677.230359520639</v>
      </c>
      <c r="Y16" s="10">
        <f t="shared" si="6"/>
        <v>44932.090545938743</v>
      </c>
      <c r="Z16" s="10">
        <f t="shared" si="6"/>
        <v>60794.94007989348</v>
      </c>
      <c r="AA16" s="10">
        <f t="shared" si="6"/>
        <v>36512.383488681757</v>
      </c>
      <c r="AB16" s="10">
        <f t="shared" si="6"/>
        <v>35217.043941411444</v>
      </c>
      <c r="AC16" s="10">
        <f t="shared" si="6"/>
        <v>56954.460719041279</v>
      </c>
      <c r="AD16" s="10">
        <f t="shared" si="6"/>
        <v>34675.632490013311</v>
      </c>
      <c r="AE16" s="10">
        <f t="shared" si="6"/>
        <v>37008.255659121169</v>
      </c>
      <c r="AF16" s="10">
        <f t="shared" si="6"/>
        <v>39669.773635153128</v>
      </c>
      <c r="AG16" s="10">
        <f t="shared" si="6"/>
        <v>49976.8308921438</v>
      </c>
      <c r="AH16" s="10">
        <f t="shared" si="6"/>
        <v>38738.748335552591</v>
      </c>
      <c r="AI16" s="10">
        <f t="shared" si="6"/>
        <v>34427.696404793613</v>
      </c>
      <c r="AJ16" s="10">
        <f t="shared" si="6"/>
        <v>37271.371504660448</v>
      </c>
      <c r="AK16" s="10">
        <f t="shared" si="6"/>
        <v>42417.310252996002</v>
      </c>
      <c r="AL16" s="10">
        <f t="shared" si="6"/>
        <v>33471.371504660456</v>
      </c>
      <c r="AM16" s="10">
        <f t="shared" si="6"/>
        <v>40519.840213049261</v>
      </c>
      <c r="AN16" s="11">
        <f t="shared" si="6"/>
        <v>47300.133155792275</v>
      </c>
    </row>
    <row r="17" spans="1:40" x14ac:dyDescent="0.3">
      <c r="A17" s="17" t="s">
        <v>10</v>
      </c>
      <c r="B17" s="18">
        <f t="shared" si="4"/>
        <v>430578.96138482023</v>
      </c>
      <c r="C17" s="19">
        <f>SUM(Q17:AB17)</f>
        <v>490033.02263648459</v>
      </c>
      <c r="D17" s="19">
        <f>SUM(AC17:AN17)</f>
        <v>492431.42476697732</v>
      </c>
      <c r="E17" s="20">
        <v>31027.430093209055</v>
      </c>
      <c r="F17" s="20">
        <v>22263.64846870839</v>
      </c>
      <c r="G17" s="20">
        <v>34609.85352862849</v>
      </c>
      <c r="H17" s="20">
        <v>30248.202396804259</v>
      </c>
      <c r="I17" s="20">
        <v>43854.327563249004</v>
      </c>
      <c r="J17" s="20">
        <v>48301.997336884153</v>
      </c>
      <c r="K17" s="20">
        <v>34194.94007989348</v>
      </c>
      <c r="L17" s="20">
        <v>30703.595206391474</v>
      </c>
      <c r="M17" s="20">
        <v>45417.842876165116</v>
      </c>
      <c r="N17" s="20">
        <v>27718.24234354194</v>
      </c>
      <c r="O17" s="20">
        <v>42361.651131824234</v>
      </c>
      <c r="P17" s="20">
        <v>39877.230359520647</v>
      </c>
      <c r="Q17" s="20">
        <v>41076.431424766975</v>
      </c>
      <c r="R17" s="20">
        <v>37418.109187749666</v>
      </c>
      <c r="S17" s="20">
        <v>31573.901464713716</v>
      </c>
      <c r="T17" s="20">
        <v>26554.460719041275</v>
      </c>
      <c r="U17" s="20">
        <v>51783.222370173098</v>
      </c>
      <c r="V17" s="20">
        <v>55254.327563249004</v>
      </c>
      <c r="W17" s="20">
        <v>25238.88149134487</v>
      </c>
      <c r="X17" s="20">
        <v>43677.230359520639</v>
      </c>
      <c r="Y17" s="20">
        <v>44932.090545938743</v>
      </c>
      <c r="Z17" s="20">
        <v>60794.94007989348</v>
      </c>
      <c r="AA17" s="20">
        <v>36512.383488681757</v>
      </c>
      <c r="AB17" s="20">
        <v>35217.043941411444</v>
      </c>
      <c r="AC17" s="20">
        <v>56954.460719041279</v>
      </c>
      <c r="AD17" s="20">
        <v>34675.632490013311</v>
      </c>
      <c r="AE17" s="20">
        <v>37008.255659121169</v>
      </c>
      <c r="AF17" s="20">
        <v>39669.773635153128</v>
      </c>
      <c r="AG17" s="20">
        <v>49976.8308921438</v>
      </c>
      <c r="AH17" s="20">
        <v>38738.748335552591</v>
      </c>
      <c r="AI17" s="20">
        <v>34427.696404793613</v>
      </c>
      <c r="AJ17" s="20">
        <v>37271.371504660448</v>
      </c>
      <c r="AK17" s="20">
        <v>42417.310252996002</v>
      </c>
      <c r="AL17" s="20">
        <v>33471.371504660456</v>
      </c>
      <c r="AM17" s="20">
        <v>40519.840213049261</v>
      </c>
      <c r="AN17" s="21">
        <v>47300.133155792275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A16A-2E8C-4EB9-BFB3-1CBDD631C071}">
  <sheetPr>
    <tabColor rgb="FFFFFF00"/>
    <outlinePr summaryBelow="0" summaryRight="0"/>
  </sheetPr>
  <dimension ref="A1:AK11"/>
  <sheetViews>
    <sheetView workbookViewId="0">
      <pane xSplit="1" topLeftCell="U1" activePane="topRight" state="frozen"/>
      <selection activeCell="E8" sqref="E8"/>
      <selection pane="topRight" sqref="A1:AK11"/>
    </sheetView>
  </sheetViews>
  <sheetFormatPr defaultColWidth="8.77734375" defaultRowHeight="14.4" x14ac:dyDescent="0.3"/>
  <cols>
    <col min="1" max="1" width="25.5546875" style="1" customWidth="1"/>
    <col min="2" max="37" width="10.109375" style="1" bestFit="1" customWidth="1"/>
    <col min="38" max="16384" width="8.77734375" style="1"/>
  </cols>
  <sheetData>
    <row r="1" spans="1:37" s="4" customFormat="1" ht="15" thickBot="1" x14ac:dyDescent="0.35">
      <c r="A1" s="2" t="s">
        <v>0</v>
      </c>
      <c r="B1" s="23">
        <v>42370</v>
      </c>
      <c r="C1" s="23">
        <v>42401</v>
      </c>
      <c r="D1" s="23">
        <v>42430</v>
      </c>
      <c r="E1" s="23">
        <v>42461</v>
      </c>
      <c r="F1" s="23">
        <v>42491</v>
      </c>
      <c r="G1" s="23">
        <v>42522</v>
      </c>
      <c r="H1" s="23">
        <v>42552</v>
      </c>
      <c r="I1" s="23">
        <v>42583</v>
      </c>
      <c r="J1" s="23">
        <v>42614</v>
      </c>
      <c r="K1" s="23">
        <v>42644</v>
      </c>
      <c r="L1" s="23">
        <v>42675</v>
      </c>
      <c r="M1" s="23">
        <v>42705</v>
      </c>
      <c r="N1" s="23">
        <v>42736</v>
      </c>
      <c r="O1" s="23">
        <v>42767</v>
      </c>
      <c r="P1" s="23">
        <v>42795</v>
      </c>
      <c r="Q1" s="23">
        <v>42826</v>
      </c>
      <c r="R1" s="23">
        <v>42856</v>
      </c>
      <c r="S1" s="23">
        <v>42887</v>
      </c>
      <c r="T1" s="23">
        <v>42917</v>
      </c>
      <c r="U1" s="23">
        <v>42948</v>
      </c>
      <c r="V1" s="23">
        <v>42979</v>
      </c>
      <c r="W1" s="23">
        <v>43009</v>
      </c>
      <c r="X1" s="23">
        <v>43040</v>
      </c>
      <c r="Y1" s="23">
        <v>43070</v>
      </c>
      <c r="Z1" s="23">
        <v>43101</v>
      </c>
      <c r="AA1" s="23">
        <v>43132</v>
      </c>
      <c r="AB1" s="23">
        <v>43160</v>
      </c>
      <c r="AC1" s="23">
        <v>43191</v>
      </c>
      <c r="AD1" s="23">
        <v>43221</v>
      </c>
      <c r="AE1" s="23">
        <v>43252</v>
      </c>
      <c r="AF1" s="23">
        <v>43282</v>
      </c>
      <c r="AG1" s="23">
        <v>43313</v>
      </c>
      <c r="AH1" s="23">
        <v>43344</v>
      </c>
      <c r="AI1" s="23">
        <v>43374</v>
      </c>
      <c r="AJ1" s="23">
        <v>43405</v>
      </c>
      <c r="AK1" s="23">
        <v>43435</v>
      </c>
    </row>
    <row r="2" spans="1:37" ht="15" thickTop="1" x14ac:dyDescent="0.3">
      <c r="A2" s="12" t="s">
        <v>1</v>
      </c>
      <c r="B2" s="15">
        <v>68480</v>
      </c>
      <c r="C2" s="15">
        <v>73200</v>
      </c>
      <c r="D2" s="15">
        <v>93600</v>
      </c>
      <c r="E2" s="15">
        <v>99540</v>
      </c>
      <c r="F2" s="15">
        <v>58480</v>
      </c>
      <c r="G2" s="15">
        <v>54120</v>
      </c>
      <c r="H2" s="15">
        <v>78120</v>
      </c>
      <c r="I2" s="15">
        <v>83930</v>
      </c>
      <c r="J2" s="15">
        <v>68670</v>
      </c>
      <c r="K2" s="15">
        <v>101250</v>
      </c>
      <c r="L2" s="15">
        <v>68340</v>
      </c>
      <c r="M2" s="15">
        <v>73440</v>
      </c>
      <c r="N2" s="15">
        <v>45760</v>
      </c>
      <c r="O2" s="15">
        <v>67900</v>
      </c>
      <c r="P2" s="15">
        <v>54520</v>
      </c>
      <c r="Q2" s="15">
        <v>85800</v>
      </c>
      <c r="R2" s="15">
        <v>50400</v>
      </c>
      <c r="S2" s="15">
        <v>86620</v>
      </c>
      <c r="T2" s="15">
        <v>71710</v>
      </c>
      <c r="U2" s="15">
        <v>45570</v>
      </c>
      <c r="V2" s="15">
        <v>74480</v>
      </c>
      <c r="W2" s="15">
        <v>65880</v>
      </c>
      <c r="X2" s="15">
        <v>79360</v>
      </c>
      <c r="Y2" s="15">
        <v>91020</v>
      </c>
      <c r="Z2" s="15">
        <v>62060</v>
      </c>
      <c r="AA2" s="15">
        <v>66600</v>
      </c>
      <c r="AB2" s="15">
        <v>52780</v>
      </c>
      <c r="AC2" s="15">
        <v>89600</v>
      </c>
      <c r="AD2" s="15">
        <v>52700</v>
      </c>
      <c r="AE2" s="15">
        <v>101250</v>
      </c>
      <c r="AF2" s="15">
        <v>100620</v>
      </c>
      <c r="AG2" s="15">
        <v>51850</v>
      </c>
      <c r="AH2" s="15">
        <v>63900</v>
      </c>
      <c r="AI2" s="15">
        <v>61950</v>
      </c>
      <c r="AJ2" s="15">
        <v>93940</v>
      </c>
      <c r="AK2" s="16">
        <v>63960</v>
      </c>
    </row>
    <row r="3" spans="1:37" x14ac:dyDescent="0.3">
      <c r="A3" s="17" t="s">
        <v>2</v>
      </c>
      <c r="B3" s="20">
        <v>60200</v>
      </c>
      <c r="C3" s="20">
        <v>63360</v>
      </c>
      <c r="D3" s="20">
        <v>88000</v>
      </c>
      <c r="E3" s="20">
        <v>79560</v>
      </c>
      <c r="F3" s="20">
        <v>50840</v>
      </c>
      <c r="G3" s="20">
        <v>56700</v>
      </c>
      <c r="H3" s="20">
        <v>77520</v>
      </c>
      <c r="I3" s="20">
        <v>66490</v>
      </c>
      <c r="J3" s="20">
        <v>53200</v>
      </c>
      <c r="K3" s="20">
        <v>88000</v>
      </c>
      <c r="L3" s="20">
        <v>78750</v>
      </c>
      <c r="M3" s="20">
        <v>67670</v>
      </c>
      <c r="N3" s="20">
        <v>67230</v>
      </c>
      <c r="O3" s="20">
        <v>71250</v>
      </c>
      <c r="P3" s="20">
        <v>74690</v>
      </c>
      <c r="Q3" s="20">
        <v>67860</v>
      </c>
      <c r="R3" s="20">
        <v>69600</v>
      </c>
      <c r="S3" s="20">
        <v>54000</v>
      </c>
      <c r="T3" s="20">
        <v>53120</v>
      </c>
      <c r="U3" s="20">
        <v>111360</v>
      </c>
      <c r="V3" s="20">
        <v>91700</v>
      </c>
      <c r="W3" s="20">
        <v>77969.999999999985</v>
      </c>
      <c r="X3" s="20">
        <v>69030</v>
      </c>
      <c r="Y3" s="20">
        <v>74800</v>
      </c>
      <c r="Z3" s="20">
        <v>57800</v>
      </c>
      <c r="AA3" s="20">
        <v>102600</v>
      </c>
      <c r="AB3" s="20">
        <v>60419.999999999993</v>
      </c>
      <c r="AC3" s="20">
        <v>90100</v>
      </c>
      <c r="AD3" s="20">
        <v>77350</v>
      </c>
      <c r="AE3" s="20">
        <v>55680</v>
      </c>
      <c r="AF3" s="20">
        <v>90480</v>
      </c>
      <c r="AG3" s="20">
        <v>58240</v>
      </c>
      <c r="AH3" s="20">
        <v>59280</v>
      </c>
      <c r="AI3" s="20">
        <v>67260</v>
      </c>
      <c r="AJ3" s="20">
        <v>80400</v>
      </c>
      <c r="AK3" s="21">
        <v>94720</v>
      </c>
    </row>
    <row r="4" spans="1:37" x14ac:dyDescent="0.3">
      <c r="A4" s="17" t="s">
        <v>3</v>
      </c>
      <c r="B4" s="20">
        <v>67200</v>
      </c>
      <c r="C4" s="20">
        <v>94710</v>
      </c>
      <c r="D4" s="20">
        <v>77350</v>
      </c>
      <c r="E4" s="20">
        <v>59160</v>
      </c>
      <c r="F4" s="20">
        <v>48720</v>
      </c>
      <c r="G4" s="20">
        <v>78200</v>
      </c>
      <c r="H4" s="20">
        <v>75240</v>
      </c>
      <c r="I4" s="20">
        <v>54320</v>
      </c>
      <c r="J4" s="20">
        <v>57420</v>
      </c>
      <c r="K4" s="20">
        <v>51940</v>
      </c>
      <c r="L4" s="20">
        <v>91000</v>
      </c>
      <c r="M4" s="20">
        <v>71020</v>
      </c>
      <c r="N4" s="20">
        <v>59360</v>
      </c>
      <c r="O4" s="20">
        <v>71040</v>
      </c>
      <c r="P4" s="20">
        <v>67000</v>
      </c>
      <c r="Q4" s="20">
        <v>93600</v>
      </c>
      <c r="R4" s="20">
        <v>79180</v>
      </c>
      <c r="S4" s="20">
        <v>71040</v>
      </c>
      <c r="T4" s="20">
        <v>81740</v>
      </c>
      <c r="U4" s="20">
        <v>78540</v>
      </c>
      <c r="V4" s="20">
        <v>79060</v>
      </c>
      <c r="W4" s="20">
        <v>78600</v>
      </c>
      <c r="X4" s="20">
        <v>47520</v>
      </c>
      <c r="Y4" s="20">
        <v>82080</v>
      </c>
      <c r="Z4" s="20">
        <v>92160</v>
      </c>
      <c r="AA4" s="20">
        <v>85000</v>
      </c>
      <c r="AB4" s="20">
        <v>58759.999999999993</v>
      </c>
      <c r="AC4" s="20">
        <v>65000</v>
      </c>
      <c r="AD4" s="20">
        <v>96200</v>
      </c>
      <c r="AE4" s="20">
        <v>88200</v>
      </c>
      <c r="AF4" s="20">
        <v>60690</v>
      </c>
      <c r="AG4" s="20">
        <v>98550</v>
      </c>
      <c r="AH4" s="20">
        <v>62400</v>
      </c>
      <c r="AI4" s="20">
        <v>78400</v>
      </c>
      <c r="AJ4" s="20">
        <v>49880</v>
      </c>
      <c r="AK4" s="21">
        <v>89320</v>
      </c>
    </row>
    <row r="5" spans="1:37" x14ac:dyDescent="0.3">
      <c r="A5" s="17" t="s">
        <v>4</v>
      </c>
      <c r="B5" s="20">
        <v>96480</v>
      </c>
      <c r="C5" s="20">
        <v>78480</v>
      </c>
      <c r="D5" s="20">
        <v>105300</v>
      </c>
      <c r="E5" s="20">
        <v>54320</v>
      </c>
      <c r="F5" s="20">
        <v>94500</v>
      </c>
      <c r="G5" s="20">
        <v>74250</v>
      </c>
      <c r="H5" s="20">
        <v>68800</v>
      </c>
      <c r="I5" s="20">
        <v>64600</v>
      </c>
      <c r="J5" s="20">
        <v>81900</v>
      </c>
      <c r="K5" s="20">
        <v>65450</v>
      </c>
      <c r="L5" s="20">
        <v>49880</v>
      </c>
      <c r="M5" s="20">
        <v>76260</v>
      </c>
      <c r="N5" s="20">
        <v>61110</v>
      </c>
      <c r="O5" s="20">
        <v>93450</v>
      </c>
      <c r="P5" s="20">
        <v>50400</v>
      </c>
      <c r="Q5" s="20">
        <v>60140</v>
      </c>
      <c r="R5" s="20">
        <v>86400</v>
      </c>
      <c r="S5" s="20">
        <v>109620</v>
      </c>
      <c r="T5" s="20">
        <v>79200</v>
      </c>
      <c r="U5" s="20">
        <v>78810</v>
      </c>
      <c r="V5" s="20">
        <v>55440</v>
      </c>
      <c r="W5" s="20">
        <v>50400</v>
      </c>
      <c r="X5" s="20">
        <v>78840</v>
      </c>
      <c r="Y5" s="20">
        <v>89460</v>
      </c>
      <c r="Z5" s="20">
        <v>73100</v>
      </c>
      <c r="AA5" s="20">
        <v>78780</v>
      </c>
      <c r="AB5" s="20">
        <v>64020</v>
      </c>
      <c r="AC5" s="20">
        <v>64680</v>
      </c>
      <c r="AD5" s="20">
        <v>48720</v>
      </c>
      <c r="AE5" s="20">
        <v>76860</v>
      </c>
      <c r="AF5" s="20">
        <v>74100</v>
      </c>
      <c r="AG5" s="20">
        <v>71690</v>
      </c>
      <c r="AH5" s="20">
        <v>70520</v>
      </c>
      <c r="AI5" s="20">
        <v>60200</v>
      </c>
      <c r="AJ5" s="20">
        <v>73080</v>
      </c>
      <c r="AK5" s="21">
        <v>87840</v>
      </c>
    </row>
    <row r="6" spans="1:37" x14ac:dyDescent="0.3">
      <c r="A6" s="17" t="s">
        <v>5</v>
      </c>
      <c r="B6" s="20">
        <v>82530</v>
      </c>
      <c r="C6" s="20">
        <v>79200</v>
      </c>
      <c r="D6" s="20">
        <v>53550</v>
      </c>
      <c r="E6" s="20">
        <v>91700</v>
      </c>
      <c r="F6" s="20">
        <v>60839.999999999993</v>
      </c>
      <c r="G6" s="20">
        <v>50400</v>
      </c>
      <c r="H6" s="20">
        <v>51460</v>
      </c>
      <c r="I6" s="20">
        <v>61610</v>
      </c>
      <c r="J6" s="20">
        <v>80600</v>
      </c>
      <c r="K6" s="20">
        <v>50400</v>
      </c>
      <c r="L6" s="20">
        <v>55650</v>
      </c>
      <c r="M6" s="20">
        <v>79380</v>
      </c>
      <c r="N6" s="20">
        <v>56999.999999999993</v>
      </c>
      <c r="O6" s="20">
        <v>66240</v>
      </c>
      <c r="P6" s="20">
        <v>75000</v>
      </c>
      <c r="Q6" s="20">
        <v>60839.999999999993</v>
      </c>
      <c r="R6" s="20">
        <v>78100</v>
      </c>
      <c r="S6" s="20">
        <v>71280</v>
      </c>
      <c r="T6" s="20">
        <v>95760</v>
      </c>
      <c r="U6" s="20">
        <v>98420</v>
      </c>
      <c r="V6" s="20">
        <v>53350</v>
      </c>
      <c r="W6" s="20">
        <v>52380</v>
      </c>
      <c r="X6" s="20">
        <v>59400.000000000007</v>
      </c>
      <c r="Y6" s="20">
        <v>59520</v>
      </c>
      <c r="Z6" s="20">
        <v>83740</v>
      </c>
      <c r="AA6" s="20">
        <v>62230</v>
      </c>
      <c r="AB6" s="20">
        <v>53500</v>
      </c>
      <c r="AC6" s="20">
        <v>68440</v>
      </c>
      <c r="AD6" s="20">
        <v>65540</v>
      </c>
      <c r="AE6" s="20">
        <v>63130.000000000007</v>
      </c>
      <c r="AF6" s="20">
        <v>90450</v>
      </c>
      <c r="AG6" s="20">
        <v>56730</v>
      </c>
      <c r="AH6" s="20">
        <v>81840</v>
      </c>
      <c r="AI6" s="20">
        <v>49140</v>
      </c>
      <c r="AJ6" s="20">
        <v>94800</v>
      </c>
      <c r="AK6" s="21">
        <v>64800.000000000007</v>
      </c>
    </row>
    <row r="7" spans="1:37" x14ac:dyDescent="0.3">
      <c r="A7" s="17" t="s">
        <v>6</v>
      </c>
      <c r="B7" s="20">
        <v>69580</v>
      </c>
      <c r="C7" s="20">
        <v>75440</v>
      </c>
      <c r="D7" s="20">
        <v>85140</v>
      </c>
      <c r="E7" s="20">
        <v>98550</v>
      </c>
      <c r="F7" s="20">
        <v>60970</v>
      </c>
      <c r="G7" s="20">
        <v>56280</v>
      </c>
      <c r="H7" s="20">
        <v>98560</v>
      </c>
      <c r="I7" s="20">
        <v>70180</v>
      </c>
      <c r="J7" s="20">
        <v>73810</v>
      </c>
      <c r="K7" s="20">
        <v>64350</v>
      </c>
      <c r="L7" s="20">
        <v>85150</v>
      </c>
      <c r="M7" s="20">
        <v>58900</v>
      </c>
      <c r="N7" s="20">
        <v>52700</v>
      </c>
      <c r="O7" s="20">
        <v>82080</v>
      </c>
      <c r="P7" s="20">
        <v>99560</v>
      </c>
      <c r="Q7" s="20">
        <v>60140</v>
      </c>
      <c r="R7" s="20">
        <v>80300</v>
      </c>
      <c r="S7" s="20">
        <v>106140</v>
      </c>
      <c r="T7" s="20">
        <v>90750</v>
      </c>
      <c r="U7" s="20">
        <v>80229.999999999985</v>
      </c>
      <c r="V7" s="20">
        <v>66420</v>
      </c>
      <c r="W7" s="20">
        <v>92020</v>
      </c>
      <c r="X7" s="20">
        <v>65800</v>
      </c>
      <c r="Y7" s="20">
        <v>90399.999999999985</v>
      </c>
      <c r="Z7" s="20">
        <v>77470</v>
      </c>
      <c r="AA7" s="20">
        <v>79200</v>
      </c>
      <c r="AB7" s="20">
        <v>65450</v>
      </c>
      <c r="AC7" s="20">
        <v>86100</v>
      </c>
      <c r="AD7" s="20">
        <v>91980</v>
      </c>
      <c r="AE7" s="20">
        <v>47850</v>
      </c>
      <c r="AF7" s="20">
        <v>57800</v>
      </c>
      <c r="AG7" s="20">
        <v>54150</v>
      </c>
      <c r="AH7" s="20">
        <v>101250</v>
      </c>
      <c r="AI7" s="20">
        <v>45920</v>
      </c>
      <c r="AJ7" s="20">
        <v>85760</v>
      </c>
      <c r="AK7" s="21">
        <v>75690</v>
      </c>
    </row>
    <row r="8" spans="1:37" x14ac:dyDescent="0.3">
      <c r="A8" s="17" t="s">
        <v>7</v>
      </c>
      <c r="B8" s="20">
        <v>80940</v>
      </c>
      <c r="C8" s="20">
        <v>83300</v>
      </c>
      <c r="D8" s="20">
        <v>66960</v>
      </c>
      <c r="E8" s="20">
        <v>70200</v>
      </c>
      <c r="F8" s="20">
        <v>73920</v>
      </c>
      <c r="G8" s="20">
        <v>113400.00000000001</v>
      </c>
      <c r="H8" s="20">
        <v>71380</v>
      </c>
      <c r="I8" s="20">
        <v>72540</v>
      </c>
      <c r="J8" s="20">
        <v>84240</v>
      </c>
      <c r="K8" s="20">
        <v>70400</v>
      </c>
      <c r="L8" s="20">
        <v>66330</v>
      </c>
      <c r="M8" s="20">
        <v>69550</v>
      </c>
      <c r="N8" s="20">
        <v>89250</v>
      </c>
      <c r="O8" s="20">
        <v>72090</v>
      </c>
      <c r="P8" s="20">
        <v>63000</v>
      </c>
      <c r="Q8" s="20">
        <v>60000</v>
      </c>
      <c r="R8" s="20">
        <v>78840</v>
      </c>
      <c r="S8" s="20">
        <v>66550</v>
      </c>
      <c r="T8" s="20">
        <v>82320</v>
      </c>
      <c r="U8" s="20">
        <v>58300.000000000007</v>
      </c>
      <c r="V8" s="20">
        <v>70070</v>
      </c>
      <c r="W8" s="20">
        <v>60480</v>
      </c>
      <c r="X8" s="20">
        <v>82080</v>
      </c>
      <c r="Y8" s="20">
        <v>78260</v>
      </c>
      <c r="Z8" s="20">
        <v>93800</v>
      </c>
      <c r="AA8" s="20">
        <v>102660</v>
      </c>
      <c r="AB8" s="20">
        <v>88740</v>
      </c>
      <c r="AC8" s="20">
        <v>71000</v>
      </c>
      <c r="AD8" s="20">
        <v>66030</v>
      </c>
      <c r="AE8" s="20">
        <v>113970</v>
      </c>
      <c r="AF8" s="20">
        <v>97900.000000000015</v>
      </c>
      <c r="AG8" s="20">
        <v>53760</v>
      </c>
      <c r="AH8" s="20">
        <v>91840.000000000015</v>
      </c>
      <c r="AI8" s="20">
        <v>73500</v>
      </c>
      <c r="AJ8" s="20">
        <v>64960.000000000007</v>
      </c>
      <c r="AK8" s="21">
        <v>67500</v>
      </c>
    </row>
    <row r="9" spans="1:37" x14ac:dyDescent="0.3">
      <c r="A9" s="17" t="s">
        <v>8</v>
      </c>
      <c r="B9" s="20">
        <v>94900</v>
      </c>
      <c r="C9" s="20">
        <v>106600</v>
      </c>
      <c r="D9" s="20">
        <v>72520</v>
      </c>
      <c r="E9" s="20">
        <v>78960</v>
      </c>
      <c r="F9" s="20">
        <v>74620</v>
      </c>
      <c r="G9" s="20">
        <v>68060</v>
      </c>
      <c r="H9" s="20">
        <v>109650</v>
      </c>
      <c r="I9" s="20">
        <v>97200</v>
      </c>
      <c r="J9" s="20">
        <v>73360</v>
      </c>
      <c r="K9" s="20">
        <v>96720</v>
      </c>
      <c r="L9" s="20">
        <v>65720</v>
      </c>
      <c r="M9" s="20">
        <v>97440</v>
      </c>
      <c r="N9" s="20">
        <v>68880</v>
      </c>
      <c r="O9" s="20">
        <v>56650</v>
      </c>
      <c r="P9" s="20">
        <v>53300</v>
      </c>
      <c r="Q9" s="20">
        <v>108730</v>
      </c>
      <c r="R9" s="20">
        <v>78440</v>
      </c>
      <c r="S9" s="20">
        <v>109470</v>
      </c>
      <c r="T9" s="20">
        <v>77440</v>
      </c>
      <c r="U9" s="20">
        <v>113900</v>
      </c>
      <c r="V9" s="20">
        <v>65920</v>
      </c>
      <c r="W9" s="20">
        <v>108540</v>
      </c>
      <c r="X9" s="20">
        <v>60030</v>
      </c>
      <c r="Y9" s="20">
        <v>59160</v>
      </c>
      <c r="Z9" s="20">
        <v>72390</v>
      </c>
      <c r="AA9" s="20">
        <v>67980</v>
      </c>
      <c r="AB9" s="20">
        <v>62130.000000000007</v>
      </c>
      <c r="AC9" s="20">
        <v>113900</v>
      </c>
      <c r="AD9" s="20">
        <v>89540</v>
      </c>
      <c r="AE9" s="20">
        <v>81359.999999999985</v>
      </c>
      <c r="AF9" s="20">
        <v>107100</v>
      </c>
      <c r="AG9" s="20">
        <v>87690.000000000015</v>
      </c>
      <c r="AH9" s="20">
        <v>50400</v>
      </c>
      <c r="AI9" s="20">
        <v>62100</v>
      </c>
      <c r="AJ9" s="20">
        <v>105270</v>
      </c>
      <c r="AK9" s="21">
        <v>64050</v>
      </c>
    </row>
    <row r="10" spans="1:37" x14ac:dyDescent="0.3">
      <c r="A10" s="17" t="s">
        <v>9</v>
      </c>
      <c r="B10" s="20">
        <v>84320</v>
      </c>
      <c r="C10" s="20">
        <v>71500</v>
      </c>
      <c r="D10" s="20">
        <v>71890</v>
      </c>
      <c r="E10" s="20">
        <v>87750</v>
      </c>
      <c r="F10" s="20">
        <v>66030</v>
      </c>
      <c r="G10" s="20">
        <v>90520</v>
      </c>
      <c r="H10" s="20">
        <v>82390</v>
      </c>
      <c r="I10" s="20">
        <v>63240</v>
      </c>
      <c r="J10" s="20">
        <v>88500</v>
      </c>
      <c r="K10" s="20">
        <v>66080</v>
      </c>
      <c r="L10" s="20">
        <v>85150</v>
      </c>
      <c r="M10" s="20">
        <v>99200</v>
      </c>
      <c r="N10" s="20">
        <v>57420</v>
      </c>
      <c r="O10" s="20">
        <v>52440</v>
      </c>
      <c r="P10" s="20">
        <v>51030</v>
      </c>
      <c r="Q10" s="20">
        <v>77490</v>
      </c>
      <c r="R10" s="20">
        <v>73750</v>
      </c>
      <c r="S10" s="20">
        <v>57820</v>
      </c>
      <c r="T10" s="20">
        <v>57950</v>
      </c>
      <c r="U10" s="20">
        <v>105410</v>
      </c>
      <c r="V10" s="20">
        <v>89680</v>
      </c>
      <c r="W10" s="20">
        <v>73440</v>
      </c>
      <c r="X10" s="20">
        <v>64740</v>
      </c>
      <c r="Y10" s="20">
        <v>72960</v>
      </c>
      <c r="Z10" s="20">
        <v>68640</v>
      </c>
      <c r="AA10" s="20">
        <v>63240</v>
      </c>
      <c r="AB10" s="20">
        <v>72590</v>
      </c>
      <c r="AC10" s="20">
        <v>102400</v>
      </c>
      <c r="AD10" s="20">
        <v>80250</v>
      </c>
      <c r="AE10" s="20">
        <v>108000</v>
      </c>
      <c r="AF10" s="20">
        <v>63220.000000000007</v>
      </c>
      <c r="AG10" s="20">
        <v>84870</v>
      </c>
      <c r="AH10" s="20">
        <v>71070</v>
      </c>
      <c r="AI10" s="20">
        <v>63440</v>
      </c>
      <c r="AJ10" s="20">
        <v>78850</v>
      </c>
      <c r="AK10" s="21">
        <v>63990.000000000007</v>
      </c>
    </row>
    <row r="11" spans="1:37" x14ac:dyDescent="0.3">
      <c r="A11" s="17" t="s">
        <v>10</v>
      </c>
      <c r="B11" s="20">
        <v>61320</v>
      </c>
      <c r="C11" s="20">
        <v>44000</v>
      </c>
      <c r="D11" s="20">
        <v>68400</v>
      </c>
      <c r="E11" s="20">
        <v>59780</v>
      </c>
      <c r="F11" s="20">
        <v>86670</v>
      </c>
      <c r="G11" s="20">
        <v>95460</v>
      </c>
      <c r="H11" s="20">
        <v>67580</v>
      </c>
      <c r="I11" s="20">
        <v>60680</v>
      </c>
      <c r="J11" s="20">
        <v>89760</v>
      </c>
      <c r="K11" s="20">
        <v>54780</v>
      </c>
      <c r="L11" s="20">
        <v>83720</v>
      </c>
      <c r="M11" s="20">
        <v>78810</v>
      </c>
      <c r="N11" s="20">
        <v>81180</v>
      </c>
      <c r="O11" s="20">
        <v>73950</v>
      </c>
      <c r="P11" s="20">
        <v>62400</v>
      </c>
      <c r="Q11" s="20">
        <v>52480</v>
      </c>
      <c r="R11" s="20">
        <v>102340</v>
      </c>
      <c r="S11" s="20">
        <v>109200</v>
      </c>
      <c r="T11" s="20">
        <v>49880</v>
      </c>
      <c r="U11" s="20">
        <v>86320</v>
      </c>
      <c r="V11" s="20">
        <v>88800</v>
      </c>
      <c r="W11" s="20">
        <v>120150.00000000001</v>
      </c>
      <c r="X11" s="20">
        <v>72160</v>
      </c>
      <c r="Y11" s="20">
        <v>69600</v>
      </c>
      <c r="Z11" s="20">
        <v>112560</v>
      </c>
      <c r="AA11" s="20">
        <v>68530</v>
      </c>
      <c r="AB11" s="20">
        <v>73140</v>
      </c>
      <c r="AC11" s="20">
        <v>78400</v>
      </c>
      <c r="AD11" s="20">
        <v>98770</v>
      </c>
      <c r="AE11" s="20">
        <v>76560</v>
      </c>
      <c r="AF11" s="20">
        <v>68040</v>
      </c>
      <c r="AG11" s="20">
        <v>73660</v>
      </c>
      <c r="AH11" s="20">
        <v>83830</v>
      </c>
      <c r="AI11" s="20">
        <v>66150</v>
      </c>
      <c r="AJ11" s="20">
        <v>80080</v>
      </c>
      <c r="AK11" s="21">
        <v>93479.999999999985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60F4-3754-47DE-89AB-8E47B3FBB9BE}">
  <dimension ref="A1:G361"/>
  <sheetViews>
    <sheetView tabSelected="1" workbookViewId="0">
      <selection activeCell="G10" sqref="G10"/>
    </sheetView>
  </sheetViews>
  <sheetFormatPr defaultRowHeight="14.4" x14ac:dyDescent="0.3"/>
  <cols>
    <col min="1" max="1" width="8.5546875" bestFit="1" customWidth="1"/>
    <col min="2" max="2" width="10.88671875" customWidth="1"/>
    <col min="3" max="3" width="8.5546875" bestFit="1" customWidth="1"/>
  </cols>
  <sheetData>
    <row r="1" spans="1:7" ht="28.8" x14ac:dyDescent="0.3">
      <c r="A1" s="27" t="s">
        <v>0</v>
      </c>
      <c r="B1" s="27" t="s">
        <v>20</v>
      </c>
      <c r="C1" s="31" t="s">
        <v>21</v>
      </c>
      <c r="D1" s="25"/>
      <c r="E1" s="25"/>
      <c r="F1" s="25"/>
      <c r="G1" s="30"/>
    </row>
    <row r="2" spans="1:7" x14ac:dyDescent="0.3">
      <c r="A2" s="24">
        <v>42370</v>
      </c>
      <c r="B2" s="28">
        <v>1</v>
      </c>
      <c r="C2" s="26">
        <v>68480</v>
      </c>
      <c r="D2" s="26"/>
      <c r="E2" s="26"/>
      <c r="F2" s="26"/>
      <c r="G2" s="26"/>
    </row>
    <row r="3" spans="1:7" x14ac:dyDescent="0.3">
      <c r="A3" s="24">
        <v>42401</v>
      </c>
      <c r="B3" s="28">
        <v>1</v>
      </c>
      <c r="C3" s="26">
        <v>73200</v>
      </c>
      <c r="D3" s="26"/>
      <c r="E3" s="26"/>
      <c r="F3" s="26"/>
      <c r="G3" s="26"/>
    </row>
    <row r="4" spans="1:7" x14ac:dyDescent="0.3">
      <c r="A4" s="24">
        <v>42430</v>
      </c>
      <c r="B4" s="28">
        <v>1</v>
      </c>
      <c r="C4" s="26">
        <v>93600</v>
      </c>
      <c r="D4" s="26"/>
      <c r="E4" s="26"/>
      <c r="F4" s="26"/>
      <c r="G4" s="26"/>
    </row>
    <row r="5" spans="1:7" x14ac:dyDescent="0.3">
      <c r="A5" s="24">
        <v>42461</v>
      </c>
      <c r="B5" s="28">
        <v>1</v>
      </c>
      <c r="C5" s="26">
        <v>99540</v>
      </c>
      <c r="D5" s="26"/>
      <c r="E5" s="26"/>
      <c r="F5" s="26"/>
      <c r="G5" s="26"/>
    </row>
    <row r="6" spans="1:7" x14ac:dyDescent="0.3">
      <c r="A6" s="24">
        <v>42491</v>
      </c>
      <c r="B6" s="28">
        <v>1</v>
      </c>
      <c r="C6" s="26">
        <v>58480</v>
      </c>
      <c r="D6" s="26"/>
      <c r="E6" s="26"/>
      <c r="F6" s="26"/>
      <c r="G6" s="26"/>
    </row>
    <row r="7" spans="1:7" x14ac:dyDescent="0.3">
      <c r="A7" s="24">
        <v>42522</v>
      </c>
      <c r="B7" s="28">
        <v>1</v>
      </c>
      <c r="C7" s="26">
        <v>54120</v>
      </c>
      <c r="D7" s="26"/>
      <c r="E7" s="26"/>
      <c r="F7" s="26"/>
      <c r="G7" s="26"/>
    </row>
    <row r="8" spans="1:7" x14ac:dyDescent="0.3">
      <c r="A8" s="24">
        <v>42552</v>
      </c>
      <c r="B8" s="28">
        <v>1</v>
      </c>
      <c r="C8" s="26">
        <v>78120</v>
      </c>
      <c r="D8" s="26"/>
      <c r="E8" s="26"/>
      <c r="F8" s="26"/>
      <c r="G8" s="26"/>
    </row>
    <row r="9" spans="1:7" x14ac:dyDescent="0.3">
      <c r="A9" s="24">
        <v>42583</v>
      </c>
      <c r="B9" s="28">
        <v>1</v>
      </c>
      <c r="C9" s="26">
        <v>83930</v>
      </c>
      <c r="D9" s="26"/>
      <c r="E9" s="26"/>
      <c r="F9" s="26"/>
      <c r="G9" s="26"/>
    </row>
    <row r="10" spans="1:7" x14ac:dyDescent="0.3">
      <c r="A10" s="24">
        <v>42614</v>
      </c>
      <c r="B10" s="28">
        <v>1</v>
      </c>
      <c r="C10" s="26">
        <v>68670</v>
      </c>
      <c r="D10" s="26"/>
      <c r="E10" s="26"/>
      <c r="F10" s="26"/>
      <c r="G10" s="26"/>
    </row>
    <row r="11" spans="1:7" x14ac:dyDescent="0.3">
      <c r="A11" s="24">
        <v>42644</v>
      </c>
      <c r="B11" s="28">
        <v>1</v>
      </c>
      <c r="C11" s="26">
        <v>101250</v>
      </c>
      <c r="D11" s="26"/>
      <c r="E11" s="26"/>
      <c r="F11" s="26"/>
      <c r="G11" s="26"/>
    </row>
    <row r="12" spans="1:7" x14ac:dyDescent="0.3">
      <c r="A12" s="24">
        <v>42675</v>
      </c>
      <c r="B12" s="28">
        <v>1</v>
      </c>
      <c r="C12" s="26">
        <v>68340</v>
      </c>
      <c r="D12" s="26"/>
      <c r="E12" s="26"/>
      <c r="F12" s="26"/>
      <c r="G12" s="26"/>
    </row>
    <row r="13" spans="1:7" x14ac:dyDescent="0.3">
      <c r="A13" s="24">
        <v>42705</v>
      </c>
      <c r="B13" s="28">
        <v>1</v>
      </c>
      <c r="C13" s="26">
        <v>73440</v>
      </c>
      <c r="D13" s="26"/>
      <c r="E13" s="26"/>
      <c r="F13" s="26"/>
      <c r="G13" s="26"/>
    </row>
    <row r="14" spans="1:7" x14ac:dyDescent="0.3">
      <c r="A14" s="24">
        <v>42736</v>
      </c>
      <c r="B14" s="28">
        <v>1</v>
      </c>
      <c r="C14" s="26">
        <v>45760</v>
      </c>
      <c r="D14" s="26"/>
      <c r="E14" s="26"/>
      <c r="F14" s="26"/>
      <c r="G14" s="26"/>
    </row>
    <row r="15" spans="1:7" x14ac:dyDescent="0.3">
      <c r="A15" s="24">
        <v>42767</v>
      </c>
      <c r="B15" s="28">
        <v>1</v>
      </c>
      <c r="C15" s="26">
        <v>67900</v>
      </c>
      <c r="D15" s="26"/>
      <c r="E15" s="26"/>
      <c r="F15" s="26"/>
      <c r="G15" s="26"/>
    </row>
    <row r="16" spans="1:7" x14ac:dyDescent="0.3">
      <c r="A16" s="24">
        <v>42795</v>
      </c>
      <c r="B16" s="28">
        <v>1</v>
      </c>
      <c r="C16" s="26">
        <v>54520</v>
      </c>
      <c r="D16" s="26"/>
      <c r="E16" s="26"/>
      <c r="F16" s="26"/>
      <c r="G16" s="26"/>
    </row>
    <row r="17" spans="1:7" x14ac:dyDescent="0.3">
      <c r="A17" s="24">
        <v>42826</v>
      </c>
      <c r="B17" s="28">
        <v>1</v>
      </c>
      <c r="C17" s="26">
        <v>85800</v>
      </c>
      <c r="D17" s="26"/>
      <c r="E17" s="26"/>
      <c r="F17" s="26"/>
      <c r="G17" s="26"/>
    </row>
    <row r="18" spans="1:7" x14ac:dyDescent="0.3">
      <c r="A18" s="24">
        <v>42856</v>
      </c>
      <c r="B18" s="28">
        <v>1</v>
      </c>
      <c r="C18" s="26">
        <v>50400</v>
      </c>
      <c r="D18" s="26"/>
      <c r="E18" s="26"/>
      <c r="F18" s="26"/>
      <c r="G18" s="26"/>
    </row>
    <row r="19" spans="1:7" x14ac:dyDescent="0.3">
      <c r="A19" s="24">
        <v>42887</v>
      </c>
      <c r="B19" s="28">
        <v>1</v>
      </c>
      <c r="C19" s="26">
        <v>86620</v>
      </c>
      <c r="D19" s="26"/>
      <c r="E19" s="26"/>
      <c r="F19" s="26"/>
      <c r="G19" s="26"/>
    </row>
    <row r="20" spans="1:7" x14ac:dyDescent="0.3">
      <c r="A20" s="24">
        <v>42917</v>
      </c>
      <c r="B20" s="28">
        <v>1</v>
      </c>
      <c r="C20" s="26">
        <v>71710</v>
      </c>
      <c r="D20" s="26"/>
      <c r="E20" s="26"/>
      <c r="F20" s="26"/>
      <c r="G20" s="26"/>
    </row>
    <row r="21" spans="1:7" x14ac:dyDescent="0.3">
      <c r="A21" s="24">
        <v>42948</v>
      </c>
      <c r="B21" s="28">
        <v>1</v>
      </c>
      <c r="C21" s="26">
        <v>45570</v>
      </c>
      <c r="D21" s="26"/>
      <c r="E21" s="26"/>
      <c r="F21" s="26"/>
      <c r="G21" s="26"/>
    </row>
    <row r="22" spans="1:7" x14ac:dyDescent="0.3">
      <c r="A22" s="24">
        <v>42979</v>
      </c>
      <c r="B22" s="28">
        <v>1</v>
      </c>
      <c r="C22" s="26">
        <v>74480</v>
      </c>
      <c r="D22" s="26"/>
      <c r="E22" s="26"/>
      <c r="F22" s="26"/>
      <c r="G22" s="26"/>
    </row>
    <row r="23" spans="1:7" x14ac:dyDescent="0.3">
      <c r="A23" s="24">
        <v>43009</v>
      </c>
      <c r="B23" s="28">
        <v>1</v>
      </c>
      <c r="C23" s="26">
        <v>65880</v>
      </c>
      <c r="D23" s="26"/>
      <c r="E23" s="26"/>
      <c r="F23" s="26"/>
      <c r="G23" s="26"/>
    </row>
    <row r="24" spans="1:7" x14ac:dyDescent="0.3">
      <c r="A24" s="24">
        <v>43040</v>
      </c>
      <c r="B24" s="28">
        <v>1</v>
      </c>
      <c r="C24" s="26">
        <v>79360</v>
      </c>
      <c r="D24" s="26"/>
      <c r="E24" s="26"/>
      <c r="F24" s="26"/>
      <c r="G24" s="26"/>
    </row>
    <row r="25" spans="1:7" x14ac:dyDescent="0.3">
      <c r="A25" s="24">
        <v>43070</v>
      </c>
      <c r="B25" s="28">
        <v>1</v>
      </c>
      <c r="C25" s="26">
        <v>91020</v>
      </c>
      <c r="D25" s="26"/>
      <c r="E25" s="26"/>
      <c r="F25" s="26"/>
      <c r="G25" s="26"/>
    </row>
    <row r="26" spans="1:7" x14ac:dyDescent="0.3">
      <c r="A26" s="24">
        <v>43101</v>
      </c>
      <c r="B26" s="28">
        <v>1</v>
      </c>
      <c r="C26" s="26">
        <v>62060</v>
      </c>
      <c r="D26" s="26"/>
      <c r="E26" s="26"/>
      <c r="F26" s="26"/>
      <c r="G26" s="26"/>
    </row>
    <row r="27" spans="1:7" x14ac:dyDescent="0.3">
      <c r="A27" s="24">
        <v>43132</v>
      </c>
      <c r="B27" s="28">
        <v>1</v>
      </c>
      <c r="C27" s="26">
        <v>66600</v>
      </c>
      <c r="D27" s="26"/>
      <c r="E27" s="26"/>
      <c r="F27" s="26"/>
      <c r="G27" s="26"/>
    </row>
    <row r="28" spans="1:7" x14ac:dyDescent="0.3">
      <c r="A28" s="24">
        <v>43160</v>
      </c>
      <c r="B28" s="28">
        <v>1</v>
      </c>
      <c r="C28" s="26">
        <v>52780</v>
      </c>
      <c r="D28" s="26"/>
      <c r="E28" s="26"/>
      <c r="F28" s="26"/>
      <c r="G28" s="26"/>
    </row>
    <row r="29" spans="1:7" x14ac:dyDescent="0.3">
      <c r="A29" s="24">
        <v>43191</v>
      </c>
      <c r="B29" s="28">
        <v>1</v>
      </c>
      <c r="C29" s="26">
        <v>89600</v>
      </c>
      <c r="D29" s="26"/>
      <c r="E29" s="26"/>
      <c r="F29" s="26"/>
      <c r="G29" s="26"/>
    </row>
    <row r="30" spans="1:7" x14ac:dyDescent="0.3">
      <c r="A30" s="24">
        <v>43221</v>
      </c>
      <c r="B30" s="28">
        <v>1</v>
      </c>
      <c r="C30" s="26">
        <v>52700</v>
      </c>
      <c r="D30" s="26"/>
      <c r="E30" s="26"/>
      <c r="F30" s="26"/>
      <c r="G30" s="26"/>
    </row>
    <row r="31" spans="1:7" x14ac:dyDescent="0.3">
      <c r="A31" s="24">
        <v>43252</v>
      </c>
      <c r="B31" s="28">
        <v>1</v>
      </c>
      <c r="C31" s="26">
        <v>101250</v>
      </c>
      <c r="D31" s="26"/>
      <c r="E31" s="26"/>
      <c r="F31" s="26"/>
      <c r="G31" s="26"/>
    </row>
    <row r="32" spans="1:7" x14ac:dyDescent="0.3">
      <c r="A32" s="24">
        <v>43282</v>
      </c>
      <c r="B32" s="28">
        <v>1</v>
      </c>
      <c r="C32" s="26">
        <v>100620</v>
      </c>
      <c r="D32" s="26"/>
      <c r="E32" s="26"/>
      <c r="F32" s="26"/>
      <c r="G32" s="26"/>
    </row>
    <row r="33" spans="1:7" x14ac:dyDescent="0.3">
      <c r="A33" s="24">
        <v>43313</v>
      </c>
      <c r="B33" s="28">
        <v>1</v>
      </c>
      <c r="C33" s="26">
        <v>51850</v>
      </c>
      <c r="D33" s="26"/>
      <c r="E33" s="26"/>
      <c r="F33" s="26"/>
      <c r="G33" s="26"/>
    </row>
    <row r="34" spans="1:7" x14ac:dyDescent="0.3">
      <c r="A34" s="24">
        <v>43344</v>
      </c>
      <c r="B34" s="28">
        <v>1</v>
      </c>
      <c r="C34" s="26">
        <v>63900</v>
      </c>
      <c r="D34" s="26"/>
      <c r="E34" s="26"/>
      <c r="F34" s="26"/>
      <c r="G34" s="26"/>
    </row>
    <row r="35" spans="1:7" x14ac:dyDescent="0.3">
      <c r="A35" s="24">
        <v>43374</v>
      </c>
      <c r="B35" s="28">
        <v>1</v>
      </c>
      <c r="C35" s="26">
        <v>61950</v>
      </c>
      <c r="D35" s="26"/>
      <c r="E35" s="26"/>
      <c r="F35" s="26"/>
      <c r="G35" s="26"/>
    </row>
    <row r="36" spans="1:7" x14ac:dyDescent="0.3">
      <c r="A36" s="24">
        <v>43405</v>
      </c>
      <c r="B36" s="28">
        <v>1</v>
      </c>
      <c r="C36" s="26">
        <v>93940</v>
      </c>
      <c r="D36" s="26"/>
      <c r="E36" s="26"/>
      <c r="F36" s="26"/>
      <c r="G36" s="26"/>
    </row>
    <row r="37" spans="1:7" x14ac:dyDescent="0.3">
      <c r="A37" s="24">
        <v>43435</v>
      </c>
      <c r="B37" s="28">
        <v>1</v>
      </c>
      <c r="C37" s="26">
        <v>63960</v>
      </c>
      <c r="D37" s="26"/>
      <c r="E37" s="26"/>
      <c r="F37" s="26"/>
      <c r="G37" s="26"/>
    </row>
    <row r="38" spans="1:7" x14ac:dyDescent="0.3">
      <c r="A38" s="24">
        <v>42370</v>
      </c>
      <c r="B38" s="29">
        <v>2</v>
      </c>
      <c r="C38" s="26">
        <v>60200</v>
      </c>
    </row>
    <row r="39" spans="1:7" x14ac:dyDescent="0.3">
      <c r="A39" s="24">
        <v>42401</v>
      </c>
      <c r="B39" s="29">
        <v>2</v>
      </c>
      <c r="C39" s="26">
        <v>63360</v>
      </c>
    </row>
    <row r="40" spans="1:7" x14ac:dyDescent="0.3">
      <c r="A40" s="24">
        <v>42430</v>
      </c>
      <c r="B40" s="29">
        <v>2</v>
      </c>
      <c r="C40" s="26">
        <v>88000</v>
      </c>
    </row>
    <row r="41" spans="1:7" x14ac:dyDescent="0.3">
      <c r="A41" s="24">
        <v>42461</v>
      </c>
      <c r="B41" s="29">
        <v>2</v>
      </c>
      <c r="C41" s="26">
        <v>79560</v>
      </c>
    </row>
    <row r="42" spans="1:7" x14ac:dyDescent="0.3">
      <c r="A42" s="24">
        <v>42491</v>
      </c>
      <c r="B42" s="29">
        <v>2</v>
      </c>
      <c r="C42" s="26">
        <v>50840</v>
      </c>
    </row>
    <row r="43" spans="1:7" x14ac:dyDescent="0.3">
      <c r="A43" s="24">
        <v>42522</v>
      </c>
      <c r="B43" s="29">
        <v>2</v>
      </c>
      <c r="C43" s="26">
        <v>56700</v>
      </c>
    </row>
    <row r="44" spans="1:7" x14ac:dyDescent="0.3">
      <c r="A44" s="24">
        <v>42552</v>
      </c>
      <c r="B44" s="29">
        <v>2</v>
      </c>
      <c r="C44" s="26">
        <v>77520</v>
      </c>
    </row>
    <row r="45" spans="1:7" x14ac:dyDescent="0.3">
      <c r="A45" s="24">
        <v>42583</v>
      </c>
      <c r="B45" s="29">
        <v>2</v>
      </c>
      <c r="C45" s="26">
        <v>66490</v>
      </c>
    </row>
    <row r="46" spans="1:7" x14ac:dyDescent="0.3">
      <c r="A46" s="24">
        <v>42614</v>
      </c>
      <c r="B46" s="29">
        <v>2</v>
      </c>
      <c r="C46" s="26">
        <v>53200</v>
      </c>
    </row>
    <row r="47" spans="1:7" x14ac:dyDescent="0.3">
      <c r="A47" s="24">
        <v>42644</v>
      </c>
      <c r="B47" s="29">
        <v>2</v>
      </c>
      <c r="C47" s="26">
        <v>88000</v>
      </c>
    </row>
    <row r="48" spans="1:7" x14ac:dyDescent="0.3">
      <c r="A48" s="24">
        <v>42675</v>
      </c>
      <c r="B48" s="29">
        <v>2</v>
      </c>
      <c r="C48" s="26">
        <v>78750</v>
      </c>
    </row>
    <row r="49" spans="1:3" x14ac:dyDescent="0.3">
      <c r="A49" s="24">
        <v>42705</v>
      </c>
      <c r="B49" s="29">
        <v>2</v>
      </c>
      <c r="C49" s="26">
        <v>67670</v>
      </c>
    </row>
    <row r="50" spans="1:3" x14ac:dyDescent="0.3">
      <c r="A50" s="24">
        <v>42736</v>
      </c>
      <c r="B50" s="29">
        <v>2</v>
      </c>
      <c r="C50" s="26">
        <v>67230</v>
      </c>
    </row>
    <row r="51" spans="1:3" x14ac:dyDescent="0.3">
      <c r="A51" s="24">
        <v>42767</v>
      </c>
      <c r="B51" s="29">
        <v>2</v>
      </c>
      <c r="C51" s="26">
        <v>71250</v>
      </c>
    </row>
    <row r="52" spans="1:3" x14ac:dyDescent="0.3">
      <c r="A52" s="24">
        <v>42795</v>
      </c>
      <c r="B52" s="29">
        <v>2</v>
      </c>
      <c r="C52" s="26">
        <v>74690</v>
      </c>
    </row>
    <row r="53" spans="1:3" x14ac:dyDescent="0.3">
      <c r="A53" s="24">
        <v>42826</v>
      </c>
      <c r="B53" s="29">
        <v>2</v>
      </c>
      <c r="C53" s="26">
        <v>67860</v>
      </c>
    </row>
    <row r="54" spans="1:3" x14ac:dyDescent="0.3">
      <c r="A54" s="24">
        <v>42856</v>
      </c>
      <c r="B54" s="29">
        <v>2</v>
      </c>
      <c r="C54" s="26">
        <v>69600</v>
      </c>
    </row>
    <row r="55" spans="1:3" x14ac:dyDescent="0.3">
      <c r="A55" s="24">
        <v>42887</v>
      </c>
      <c r="B55" s="29">
        <v>2</v>
      </c>
      <c r="C55" s="26">
        <v>54000</v>
      </c>
    </row>
    <row r="56" spans="1:3" x14ac:dyDescent="0.3">
      <c r="A56" s="24">
        <v>42917</v>
      </c>
      <c r="B56" s="29">
        <v>2</v>
      </c>
      <c r="C56" s="26">
        <v>53120</v>
      </c>
    </row>
    <row r="57" spans="1:3" x14ac:dyDescent="0.3">
      <c r="A57" s="24">
        <v>42948</v>
      </c>
      <c r="B57" s="29">
        <v>2</v>
      </c>
      <c r="C57" s="26">
        <v>111360</v>
      </c>
    </row>
    <row r="58" spans="1:3" x14ac:dyDescent="0.3">
      <c r="A58" s="24">
        <v>42979</v>
      </c>
      <c r="B58" s="29">
        <v>2</v>
      </c>
      <c r="C58" s="26">
        <v>91700</v>
      </c>
    </row>
    <row r="59" spans="1:3" x14ac:dyDescent="0.3">
      <c r="A59" s="24">
        <v>43009</v>
      </c>
      <c r="B59" s="29">
        <v>2</v>
      </c>
      <c r="C59" s="26">
        <v>77969.999999999985</v>
      </c>
    </row>
    <row r="60" spans="1:3" x14ac:dyDescent="0.3">
      <c r="A60" s="24">
        <v>43040</v>
      </c>
      <c r="B60" s="29">
        <v>2</v>
      </c>
      <c r="C60" s="26">
        <v>69030</v>
      </c>
    </row>
    <row r="61" spans="1:3" x14ac:dyDescent="0.3">
      <c r="A61" s="24">
        <v>43070</v>
      </c>
      <c r="B61" s="29">
        <v>2</v>
      </c>
      <c r="C61" s="26">
        <v>74800</v>
      </c>
    </row>
    <row r="62" spans="1:3" x14ac:dyDescent="0.3">
      <c r="A62" s="24">
        <v>43101</v>
      </c>
      <c r="B62" s="29">
        <v>2</v>
      </c>
      <c r="C62" s="26">
        <v>57800</v>
      </c>
    </row>
    <row r="63" spans="1:3" x14ac:dyDescent="0.3">
      <c r="A63" s="24">
        <v>43132</v>
      </c>
      <c r="B63" s="29">
        <v>2</v>
      </c>
      <c r="C63" s="26">
        <v>102600</v>
      </c>
    </row>
    <row r="64" spans="1:3" x14ac:dyDescent="0.3">
      <c r="A64" s="24">
        <v>43160</v>
      </c>
      <c r="B64" s="29">
        <v>2</v>
      </c>
      <c r="C64" s="26">
        <v>60419.999999999993</v>
      </c>
    </row>
    <row r="65" spans="1:3" x14ac:dyDescent="0.3">
      <c r="A65" s="24">
        <v>43191</v>
      </c>
      <c r="B65" s="29">
        <v>2</v>
      </c>
      <c r="C65" s="26">
        <v>90100</v>
      </c>
    </row>
    <row r="66" spans="1:3" x14ac:dyDescent="0.3">
      <c r="A66" s="24">
        <v>43221</v>
      </c>
      <c r="B66" s="29">
        <v>2</v>
      </c>
      <c r="C66" s="26">
        <v>77350</v>
      </c>
    </row>
    <row r="67" spans="1:3" x14ac:dyDescent="0.3">
      <c r="A67" s="24">
        <v>43252</v>
      </c>
      <c r="B67" s="29">
        <v>2</v>
      </c>
      <c r="C67" s="26">
        <v>55680</v>
      </c>
    </row>
    <row r="68" spans="1:3" x14ac:dyDescent="0.3">
      <c r="A68" s="24">
        <v>43282</v>
      </c>
      <c r="B68" s="29">
        <v>2</v>
      </c>
      <c r="C68" s="26">
        <v>90480</v>
      </c>
    </row>
    <row r="69" spans="1:3" x14ac:dyDescent="0.3">
      <c r="A69" s="24">
        <v>43313</v>
      </c>
      <c r="B69" s="29">
        <v>2</v>
      </c>
      <c r="C69" s="26">
        <v>58240</v>
      </c>
    </row>
    <row r="70" spans="1:3" x14ac:dyDescent="0.3">
      <c r="A70" s="24">
        <v>43344</v>
      </c>
      <c r="B70" s="29">
        <v>2</v>
      </c>
      <c r="C70" s="26">
        <v>59280</v>
      </c>
    </row>
    <row r="71" spans="1:3" x14ac:dyDescent="0.3">
      <c r="A71" s="24">
        <v>43374</v>
      </c>
      <c r="B71" s="29">
        <v>2</v>
      </c>
      <c r="C71" s="26">
        <v>67260</v>
      </c>
    </row>
    <row r="72" spans="1:3" x14ac:dyDescent="0.3">
      <c r="A72" s="24">
        <v>43405</v>
      </c>
      <c r="B72" s="29">
        <v>2</v>
      </c>
      <c r="C72" s="26">
        <v>80400</v>
      </c>
    </row>
    <row r="73" spans="1:3" x14ac:dyDescent="0.3">
      <c r="A73" s="24">
        <v>43435</v>
      </c>
      <c r="B73" s="29">
        <v>2</v>
      </c>
      <c r="C73" s="26">
        <v>94720</v>
      </c>
    </row>
    <row r="74" spans="1:3" x14ac:dyDescent="0.3">
      <c r="A74" s="24">
        <v>42370</v>
      </c>
      <c r="B74" s="29">
        <v>3</v>
      </c>
      <c r="C74" s="26">
        <v>67200</v>
      </c>
    </row>
    <row r="75" spans="1:3" x14ac:dyDescent="0.3">
      <c r="A75" s="24">
        <v>42401</v>
      </c>
      <c r="B75" s="29">
        <v>3</v>
      </c>
      <c r="C75" s="26">
        <v>94710</v>
      </c>
    </row>
    <row r="76" spans="1:3" x14ac:dyDescent="0.3">
      <c r="A76" s="24">
        <v>42430</v>
      </c>
      <c r="B76" s="29">
        <v>3</v>
      </c>
      <c r="C76" s="26">
        <v>77350</v>
      </c>
    </row>
    <row r="77" spans="1:3" x14ac:dyDescent="0.3">
      <c r="A77" s="24">
        <v>42461</v>
      </c>
      <c r="B77" s="29">
        <v>3</v>
      </c>
      <c r="C77" s="26">
        <v>59160</v>
      </c>
    </row>
    <row r="78" spans="1:3" x14ac:dyDescent="0.3">
      <c r="A78" s="24">
        <v>42491</v>
      </c>
      <c r="B78" s="29">
        <v>3</v>
      </c>
      <c r="C78" s="26">
        <v>48720</v>
      </c>
    </row>
    <row r="79" spans="1:3" x14ac:dyDescent="0.3">
      <c r="A79" s="24">
        <v>42522</v>
      </c>
      <c r="B79" s="29">
        <v>3</v>
      </c>
      <c r="C79" s="26">
        <v>78200</v>
      </c>
    </row>
    <row r="80" spans="1:3" x14ac:dyDescent="0.3">
      <c r="A80" s="24">
        <v>42552</v>
      </c>
      <c r="B80" s="29">
        <v>3</v>
      </c>
      <c r="C80" s="26">
        <v>75240</v>
      </c>
    </row>
    <row r="81" spans="1:3" x14ac:dyDescent="0.3">
      <c r="A81" s="24">
        <v>42583</v>
      </c>
      <c r="B81" s="29">
        <v>3</v>
      </c>
      <c r="C81" s="26">
        <v>54320</v>
      </c>
    </row>
    <row r="82" spans="1:3" x14ac:dyDescent="0.3">
      <c r="A82" s="24">
        <v>42614</v>
      </c>
      <c r="B82" s="29">
        <v>3</v>
      </c>
      <c r="C82" s="26">
        <v>57420</v>
      </c>
    </row>
    <row r="83" spans="1:3" x14ac:dyDescent="0.3">
      <c r="A83" s="24">
        <v>42644</v>
      </c>
      <c r="B83" s="29">
        <v>3</v>
      </c>
      <c r="C83" s="26">
        <v>51940</v>
      </c>
    </row>
    <row r="84" spans="1:3" x14ac:dyDescent="0.3">
      <c r="A84" s="24">
        <v>42675</v>
      </c>
      <c r="B84" s="29">
        <v>3</v>
      </c>
      <c r="C84" s="26">
        <v>91000</v>
      </c>
    </row>
    <row r="85" spans="1:3" x14ac:dyDescent="0.3">
      <c r="A85" s="24">
        <v>42705</v>
      </c>
      <c r="B85" s="29">
        <v>3</v>
      </c>
      <c r="C85" s="26">
        <v>71020</v>
      </c>
    </row>
    <row r="86" spans="1:3" x14ac:dyDescent="0.3">
      <c r="A86" s="24">
        <v>42736</v>
      </c>
      <c r="B86" s="29">
        <v>3</v>
      </c>
      <c r="C86" s="26">
        <v>59360</v>
      </c>
    </row>
    <row r="87" spans="1:3" x14ac:dyDescent="0.3">
      <c r="A87" s="24">
        <v>42767</v>
      </c>
      <c r="B87" s="29">
        <v>3</v>
      </c>
      <c r="C87" s="26">
        <v>71040</v>
      </c>
    </row>
    <row r="88" spans="1:3" x14ac:dyDescent="0.3">
      <c r="A88" s="24">
        <v>42795</v>
      </c>
      <c r="B88" s="29">
        <v>3</v>
      </c>
      <c r="C88" s="26">
        <v>67000</v>
      </c>
    </row>
    <row r="89" spans="1:3" x14ac:dyDescent="0.3">
      <c r="A89" s="24">
        <v>42826</v>
      </c>
      <c r="B89" s="29">
        <v>3</v>
      </c>
      <c r="C89" s="26">
        <v>93600</v>
      </c>
    </row>
    <row r="90" spans="1:3" x14ac:dyDescent="0.3">
      <c r="A90" s="24">
        <v>42856</v>
      </c>
      <c r="B90" s="29">
        <v>3</v>
      </c>
      <c r="C90" s="26">
        <v>79180</v>
      </c>
    </row>
    <row r="91" spans="1:3" x14ac:dyDescent="0.3">
      <c r="A91" s="24">
        <v>42887</v>
      </c>
      <c r="B91" s="29">
        <v>3</v>
      </c>
      <c r="C91" s="26">
        <v>71040</v>
      </c>
    </row>
    <row r="92" spans="1:3" x14ac:dyDescent="0.3">
      <c r="A92" s="24">
        <v>42917</v>
      </c>
      <c r="B92" s="29">
        <v>3</v>
      </c>
      <c r="C92" s="26">
        <v>81740</v>
      </c>
    </row>
    <row r="93" spans="1:3" x14ac:dyDescent="0.3">
      <c r="A93" s="24">
        <v>42948</v>
      </c>
      <c r="B93" s="29">
        <v>3</v>
      </c>
      <c r="C93" s="26">
        <v>78540</v>
      </c>
    </row>
    <row r="94" spans="1:3" x14ac:dyDescent="0.3">
      <c r="A94" s="24">
        <v>42979</v>
      </c>
      <c r="B94" s="29">
        <v>3</v>
      </c>
      <c r="C94" s="26">
        <v>79060</v>
      </c>
    </row>
    <row r="95" spans="1:3" x14ac:dyDescent="0.3">
      <c r="A95" s="24">
        <v>43009</v>
      </c>
      <c r="B95" s="29">
        <v>3</v>
      </c>
      <c r="C95" s="26">
        <v>78600</v>
      </c>
    </row>
    <row r="96" spans="1:3" x14ac:dyDescent="0.3">
      <c r="A96" s="24">
        <v>43040</v>
      </c>
      <c r="B96" s="29">
        <v>3</v>
      </c>
      <c r="C96" s="26">
        <v>47520</v>
      </c>
    </row>
    <row r="97" spans="1:3" x14ac:dyDescent="0.3">
      <c r="A97" s="24">
        <v>43070</v>
      </c>
      <c r="B97" s="29">
        <v>3</v>
      </c>
      <c r="C97" s="26">
        <v>82080</v>
      </c>
    </row>
    <row r="98" spans="1:3" x14ac:dyDescent="0.3">
      <c r="A98" s="24">
        <v>43101</v>
      </c>
      <c r="B98" s="29">
        <v>3</v>
      </c>
      <c r="C98" s="26">
        <v>92160</v>
      </c>
    </row>
    <row r="99" spans="1:3" x14ac:dyDescent="0.3">
      <c r="A99" s="24">
        <v>43132</v>
      </c>
      <c r="B99" s="29">
        <v>3</v>
      </c>
      <c r="C99" s="26">
        <v>85000</v>
      </c>
    </row>
    <row r="100" spans="1:3" x14ac:dyDescent="0.3">
      <c r="A100" s="24">
        <v>43160</v>
      </c>
      <c r="B100" s="29">
        <v>3</v>
      </c>
      <c r="C100" s="26">
        <v>58759.999999999993</v>
      </c>
    </row>
    <row r="101" spans="1:3" x14ac:dyDescent="0.3">
      <c r="A101" s="24">
        <v>43191</v>
      </c>
      <c r="B101" s="29">
        <v>3</v>
      </c>
      <c r="C101" s="26">
        <v>65000</v>
      </c>
    </row>
    <row r="102" spans="1:3" x14ac:dyDescent="0.3">
      <c r="A102" s="24">
        <v>43221</v>
      </c>
      <c r="B102" s="29">
        <v>3</v>
      </c>
      <c r="C102" s="26">
        <v>96200</v>
      </c>
    </row>
    <row r="103" spans="1:3" x14ac:dyDescent="0.3">
      <c r="A103" s="24">
        <v>43252</v>
      </c>
      <c r="B103" s="29">
        <v>3</v>
      </c>
      <c r="C103" s="26">
        <v>88200</v>
      </c>
    </row>
    <row r="104" spans="1:3" x14ac:dyDescent="0.3">
      <c r="A104" s="24">
        <v>43282</v>
      </c>
      <c r="B104" s="29">
        <v>3</v>
      </c>
      <c r="C104" s="26">
        <v>60690</v>
      </c>
    </row>
    <row r="105" spans="1:3" x14ac:dyDescent="0.3">
      <c r="A105" s="24">
        <v>43313</v>
      </c>
      <c r="B105" s="29">
        <v>3</v>
      </c>
      <c r="C105" s="26">
        <v>98550</v>
      </c>
    </row>
    <row r="106" spans="1:3" x14ac:dyDescent="0.3">
      <c r="A106" s="24">
        <v>43344</v>
      </c>
      <c r="B106" s="29">
        <v>3</v>
      </c>
      <c r="C106" s="26">
        <v>62400</v>
      </c>
    </row>
    <row r="107" spans="1:3" x14ac:dyDescent="0.3">
      <c r="A107" s="24">
        <v>43374</v>
      </c>
      <c r="B107" s="29">
        <v>3</v>
      </c>
      <c r="C107" s="26">
        <v>78400</v>
      </c>
    </row>
    <row r="108" spans="1:3" x14ac:dyDescent="0.3">
      <c r="A108" s="24">
        <v>43405</v>
      </c>
      <c r="B108" s="29">
        <v>3</v>
      </c>
      <c r="C108" s="26">
        <v>49880</v>
      </c>
    </row>
    <row r="109" spans="1:3" x14ac:dyDescent="0.3">
      <c r="A109" s="24">
        <v>43435</v>
      </c>
      <c r="B109" s="29">
        <v>3</v>
      </c>
      <c r="C109" s="26">
        <v>89320</v>
      </c>
    </row>
    <row r="110" spans="1:3" x14ac:dyDescent="0.3">
      <c r="A110" s="24">
        <v>42370</v>
      </c>
      <c r="B110" s="29">
        <v>4</v>
      </c>
      <c r="C110" s="26">
        <v>96480</v>
      </c>
    </row>
    <row r="111" spans="1:3" x14ac:dyDescent="0.3">
      <c r="A111" s="24">
        <v>42401</v>
      </c>
      <c r="B111" s="29">
        <v>4</v>
      </c>
      <c r="C111" s="26">
        <v>78480</v>
      </c>
    </row>
    <row r="112" spans="1:3" x14ac:dyDescent="0.3">
      <c r="A112" s="24">
        <v>42430</v>
      </c>
      <c r="B112" s="29">
        <v>4</v>
      </c>
      <c r="C112" s="26">
        <v>105300</v>
      </c>
    </row>
    <row r="113" spans="1:3" x14ac:dyDescent="0.3">
      <c r="A113" s="24">
        <v>42461</v>
      </c>
      <c r="B113" s="29">
        <v>4</v>
      </c>
      <c r="C113" s="26">
        <v>54320</v>
      </c>
    </row>
    <row r="114" spans="1:3" x14ac:dyDescent="0.3">
      <c r="A114" s="24">
        <v>42491</v>
      </c>
      <c r="B114" s="29">
        <v>4</v>
      </c>
      <c r="C114" s="26">
        <v>94500</v>
      </c>
    </row>
    <row r="115" spans="1:3" x14ac:dyDescent="0.3">
      <c r="A115" s="24">
        <v>42522</v>
      </c>
      <c r="B115" s="29">
        <v>4</v>
      </c>
      <c r="C115" s="26">
        <v>74250</v>
      </c>
    </row>
    <row r="116" spans="1:3" x14ac:dyDescent="0.3">
      <c r="A116" s="24">
        <v>42552</v>
      </c>
      <c r="B116" s="29">
        <v>4</v>
      </c>
      <c r="C116" s="26">
        <v>68800</v>
      </c>
    </row>
    <row r="117" spans="1:3" x14ac:dyDescent="0.3">
      <c r="A117" s="24">
        <v>42583</v>
      </c>
      <c r="B117" s="29">
        <v>4</v>
      </c>
      <c r="C117" s="26">
        <v>64600</v>
      </c>
    </row>
    <row r="118" spans="1:3" x14ac:dyDescent="0.3">
      <c r="A118" s="24">
        <v>42614</v>
      </c>
      <c r="B118" s="29">
        <v>4</v>
      </c>
      <c r="C118" s="26">
        <v>81900</v>
      </c>
    </row>
    <row r="119" spans="1:3" x14ac:dyDescent="0.3">
      <c r="A119" s="24">
        <v>42644</v>
      </c>
      <c r="B119" s="29">
        <v>4</v>
      </c>
      <c r="C119" s="26">
        <v>65450</v>
      </c>
    </row>
    <row r="120" spans="1:3" x14ac:dyDescent="0.3">
      <c r="A120" s="24">
        <v>42675</v>
      </c>
      <c r="B120" s="29">
        <v>4</v>
      </c>
      <c r="C120" s="26">
        <v>49880</v>
      </c>
    </row>
    <row r="121" spans="1:3" x14ac:dyDescent="0.3">
      <c r="A121" s="24">
        <v>42705</v>
      </c>
      <c r="B121" s="29">
        <v>4</v>
      </c>
      <c r="C121" s="26">
        <v>76260</v>
      </c>
    </row>
    <row r="122" spans="1:3" x14ac:dyDescent="0.3">
      <c r="A122" s="24">
        <v>42736</v>
      </c>
      <c r="B122" s="29">
        <v>4</v>
      </c>
      <c r="C122" s="26">
        <v>61110</v>
      </c>
    </row>
    <row r="123" spans="1:3" x14ac:dyDescent="0.3">
      <c r="A123" s="24">
        <v>42767</v>
      </c>
      <c r="B123" s="29">
        <v>4</v>
      </c>
      <c r="C123" s="26">
        <v>93450</v>
      </c>
    </row>
    <row r="124" spans="1:3" x14ac:dyDescent="0.3">
      <c r="A124" s="24">
        <v>42795</v>
      </c>
      <c r="B124" s="29">
        <v>4</v>
      </c>
      <c r="C124" s="26">
        <v>50400</v>
      </c>
    </row>
    <row r="125" spans="1:3" x14ac:dyDescent="0.3">
      <c r="A125" s="24">
        <v>42826</v>
      </c>
      <c r="B125" s="29">
        <v>4</v>
      </c>
      <c r="C125" s="26">
        <v>60140</v>
      </c>
    </row>
    <row r="126" spans="1:3" x14ac:dyDescent="0.3">
      <c r="A126" s="24">
        <v>42856</v>
      </c>
      <c r="B126" s="29">
        <v>4</v>
      </c>
      <c r="C126" s="26">
        <v>86400</v>
      </c>
    </row>
    <row r="127" spans="1:3" x14ac:dyDescent="0.3">
      <c r="A127" s="24">
        <v>42887</v>
      </c>
      <c r="B127" s="29">
        <v>4</v>
      </c>
      <c r="C127" s="26">
        <v>109620</v>
      </c>
    </row>
    <row r="128" spans="1:3" x14ac:dyDescent="0.3">
      <c r="A128" s="24">
        <v>42917</v>
      </c>
      <c r="B128" s="29">
        <v>4</v>
      </c>
      <c r="C128" s="26">
        <v>79200</v>
      </c>
    </row>
    <row r="129" spans="1:3" x14ac:dyDescent="0.3">
      <c r="A129" s="24">
        <v>42948</v>
      </c>
      <c r="B129" s="29">
        <v>4</v>
      </c>
      <c r="C129" s="26">
        <v>78810</v>
      </c>
    </row>
    <row r="130" spans="1:3" x14ac:dyDescent="0.3">
      <c r="A130" s="24">
        <v>42979</v>
      </c>
      <c r="B130" s="29">
        <v>4</v>
      </c>
      <c r="C130" s="26">
        <v>55440</v>
      </c>
    </row>
    <row r="131" spans="1:3" x14ac:dyDescent="0.3">
      <c r="A131" s="24">
        <v>43009</v>
      </c>
      <c r="B131" s="29">
        <v>4</v>
      </c>
      <c r="C131" s="26">
        <v>50400</v>
      </c>
    </row>
    <row r="132" spans="1:3" x14ac:dyDescent="0.3">
      <c r="A132" s="24">
        <v>43040</v>
      </c>
      <c r="B132" s="29">
        <v>4</v>
      </c>
      <c r="C132" s="26">
        <v>78840</v>
      </c>
    </row>
    <row r="133" spans="1:3" x14ac:dyDescent="0.3">
      <c r="A133" s="24">
        <v>43070</v>
      </c>
      <c r="B133" s="29">
        <v>4</v>
      </c>
      <c r="C133" s="26">
        <v>89460</v>
      </c>
    </row>
    <row r="134" spans="1:3" x14ac:dyDescent="0.3">
      <c r="A134" s="24">
        <v>43101</v>
      </c>
      <c r="B134" s="29">
        <v>4</v>
      </c>
      <c r="C134" s="26">
        <v>73100</v>
      </c>
    </row>
    <row r="135" spans="1:3" x14ac:dyDescent="0.3">
      <c r="A135" s="24">
        <v>43132</v>
      </c>
      <c r="B135" s="29">
        <v>4</v>
      </c>
      <c r="C135" s="26">
        <v>78780</v>
      </c>
    </row>
    <row r="136" spans="1:3" x14ac:dyDescent="0.3">
      <c r="A136" s="24">
        <v>43160</v>
      </c>
      <c r="B136" s="29">
        <v>4</v>
      </c>
      <c r="C136" s="26">
        <v>64020</v>
      </c>
    </row>
    <row r="137" spans="1:3" x14ac:dyDescent="0.3">
      <c r="A137" s="24">
        <v>43191</v>
      </c>
      <c r="B137" s="29">
        <v>4</v>
      </c>
      <c r="C137" s="26">
        <v>64680</v>
      </c>
    </row>
    <row r="138" spans="1:3" x14ac:dyDescent="0.3">
      <c r="A138" s="24">
        <v>43221</v>
      </c>
      <c r="B138" s="29">
        <v>4</v>
      </c>
      <c r="C138" s="26">
        <v>48720</v>
      </c>
    </row>
    <row r="139" spans="1:3" x14ac:dyDescent="0.3">
      <c r="A139" s="24">
        <v>43252</v>
      </c>
      <c r="B139" s="29">
        <v>4</v>
      </c>
      <c r="C139" s="26">
        <v>76860</v>
      </c>
    </row>
    <row r="140" spans="1:3" x14ac:dyDescent="0.3">
      <c r="A140" s="24">
        <v>43282</v>
      </c>
      <c r="B140" s="29">
        <v>4</v>
      </c>
      <c r="C140" s="26">
        <v>74100</v>
      </c>
    </row>
    <row r="141" spans="1:3" x14ac:dyDescent="0.3">
      <c r="A141" s="24">
        <v>43313</v>
      </c>
      <c r="B141" s="29">
        <v>4</v>
      </c>
      <c r="C141" s="26">
        <v>71690</v>
      </c>
    </row>
    <row r="142" spans="1:3" x14ac:dyDescent="0.3">
      <c r="A142" s="24">
        <v>43344</v>
      </c>
      <c r="B142" s="29">
        <v>4</v>
      </c>
      <c r="C142" s="26">
        <v>70520</v>
      </c>
    </row>
    <row r="143" spans="1:3" x14ac:dyDescent="0.3">
      <c r="A143" s="24">
        <v>43374</v>
      </c>
      <c r="B143" s="29">
        <v>4</v>
      </c>
      <c r="C143" s="26">
        <v>60200</v>
      </c>
    </row>
    <row r="144" spans="1:3" x14ac:dyDescent="0.3">
      <c r="A144" s="24">
        <v>43405</v>
      </c>
      <c r="B144" s="29">
        <v>4</v>
      </c>
      <c r="C144" s="26">
        <v>73080</v>
      </c>
    </row>
    <row r="145" spans="1:3" x14ac:dyDescent="0.3">
      <c r="A145" s="24">
        <v>43435</v>
      </c>
      <c r="B145" s="29">
        <v>4</v>
      </c>
      <c r="C145" s="26">
        <v>87840</v>
      </c>
    </row>
    <row r="146" spans="1:3" x14ac:dyDescent="0.3">
      <c r="A146" s="24">
        <v>42370</v>
      </c>
      <c r="B146" s="29">
        <v>5</v>
      </c>
      <c r="C146" s="26">
        <v>82530</v>
      </c>
    </row>
    <row r="147" spans="1:3" x14ac:dyDescent="0.3">
      <c r="A147" s="24">
        <v>42401</v>
      </c>
      <c r="B147" s="29">
        <v>5</v>
      </c>
      <c r="C147" s="26">
        <v>79200</v>
      </c>
    </row>
    <row r="148" spans="1:3" x14ac:dyDescent="0.3">
      <c r="A148" s="24">
        <v>42430</v>
      </c>
      <c r="B148" s="29">
        <v>5</v>
      </c>
      <c r="C148" s="26">
        <v>53550</v>
      </c>
    </row>
    <row r="149" spans="1:3" x14ac:dyDescent="0.3">
      <c r="A149" s="24">
        <v>42461</v>
      </c>
      <c r="B149" s="29">
        <v>5</v>
      </c>
      <c r="C149" s="26">
        <v>91700</v>
      </c>
    </row>
    <row r="150" spans="1:3" x14ac:dyDescent="0.3">
      <c r="A150" s="24">
        <v>42491</v>
      </c>
      <c r="B150" s="29">
        <v>5</v>
      </c>
      <c r="C150" s="26">
        <v>60839.999999999993</v>
      </c>
    </row>
    <row r="151" spans="1:3" x14ac:dyDescent="0.3">
      <c r="A151" s="24">
        <v>42522</v>
      </c>
      <c r="B151" s="29">
        <v>5</v>
      </c>
      <c r="C151" s="26">
        <v>50400</v>
      </c>
    </row>
    <row r="152" spans="1:3" x14ac:dyDescent="0.3">
      <c r="A152" s="24">
        <v>42552</v>
      </c>
      <c r="B152" s="29">
        <v>5</v>
      </c>
      <c r="C152" s="26">
        <v>51460</v>
      </c>
    </row>
    <row r="153" spans="1:3" x14ac:dyDescent="0.3">
      <c r="A153" s="24">
        <v>42583</v>
      </c>
      <c r="B153" s="29">
        <v>5</v>
      </c>
      <c r="C153" s="26">
        <v>61610</v>
      </c>
    </row>
    <row r="154" spans="1:3" x14ac:dyDescent="0.3">
      <c r="A154" s="24">
        <v>42614</v>
      </c>
      <c r="B154" s="29">
        <v>5</v>
      </c>
      <c r="C154" s="26">
        <v>80600</v>
      </c>
    </row>
    <row r="155" spans="1:3" x14ac:dyDescent="0.3">
      <c r="A155" s="24">
        <v>42644</v>
      </c>
      <c r="B155" s="29">
        <v>5</v>
      </c>
      <c r="C155" s="26">
        <v>50400</v>
      </c>
    </row>
    <row r="156" spans="1:3" x14ac:dyDescent="0.3">
      <c r="A156" s="24">
        <v>42675</v>
      </c>
      <c r="B156" s="29">
        <v>5</v>
      </c>
      <c r="C156" s="26">
        <v>55650</v>
      </c>
    </row>
    <row r="157" spans="1:3" x14ac:dyDescent="0.3">
      <c r="A157" s="24">
        <v>42705</v>
      </c>
      <c r="B157" s="29">
        <v>5</v>
      </c>
      <c r="C157" s="26">
        <v>79380</v>
      </c>
    </row>
    <row r="158" spans="1:3" x14ac:dyDescent="0.3">
      <c r="A158" s="24">
        <v>42736</v>
      </c>
      <c r="B158" s="29">
        <v>5</v>
      </c>
      <c r="C158" s="26">
        <v>56999.999999999993</v>
      </c>
    </row>
    <row r="159" spans="1:3" x14ac:dyDescent="0.3">
      <c r="A159" s="24">
        <v>42767</v>
      </c>
      <c r="B159" s="29">
        <v>5</v>
      </c>
      <c r="C159" s="26">
        <v>66240</v>
      </c>
    </row>
    <row r="160" spans="1:3" x14ac:dyDescent="0.3">
      <c r="A160" s="24">
        <v>42795</v>
      </c>
      <c r="B160" s="29">
        <v>5</v>
      </c>
      <c r="C160" s="26">
        <v>75000</v>
      </c>
    </row>
    <row r="161" spans="1:3" x14ac:dyDescent="0.3">
      <c r="A161" s="24">
        <v>42826</v>
      </c>
      <c r="B161" s="29">
        <v>5</v>
      </c>
      <c r="C161" s="26">
        <v>60839.999999999993</v>
      </c>
    </row>
    <row r="162" spans="1:3" x14ac:dyDescent="0.3">
      <c r="A162" s="24">
        <v>42856</v>
      </c>
      <c r="B162" s="29">
        <v>5</v>
      </c>
      <c r="C162" s="26">
        <v>78100</v>
      </c>
    </row>
    <row r="163" spans="1:3" x14ac:dyDescent="0.3">
      <c r="A163" s="24">
        <v>42887</v>
      </c>
      <c r="B163" s="29">
        <v>5</v>
      </c>
      <c r="C163" s="26">
        <v>71280</v>
      </c>
    </row>
    <row r="164" spans="1:3" x14ac:dyDescent="0.3">
      <c r="A164" s="24">
        <v>42917</v>
      </c>
      <c r="B164" s="29">
        <v>5</v>
      </c>
      <c r="C164" s="26">
        <v>95760</v>
      </c>
    </row>
    <row r="165" spans="1:3" x14ac:dyDescent="0.3">
      <c r="A165" s="24">
        <v>42948</v>
      </c>
      <c r="B165" s="29">
        <v>5</v>
      </c>
      <c r="C165" s="26">
        <v>98420</v>
      </c>
    </row>
    <row r="166" spans="1:3" x14ac:dyDescent="0.3">
      <c r="A166" s="24">
        <v>42979</v>
      </c>
      <c r="B166" s="29">
        <v>5</v>
      </c>
      <c r="C166" s="26">
        <v>53350</v>
      </c>
    </row>
    <row r="167" spans="1:3" x14ac:dyDescent="0.3">
      <c r="A167" s="24">
        <v>43009</v>
      </c>
      <c r="B167" s="29">
        <v>5</v>
      </c>
      <c r="C167" s="26">
        <v>52380</v>
      </c>
    </row>
    <row r="168" spans="1:3" x14ac:dyDescent="0.3">
      <c r="A168" s="24">
        <v>43040</v>
      </c>
      <c r="B168" s="29">
        <v>5</v>
      </c>
      <c r="C168" s="26">
        <v>59400.000000000007</v>
      </c>
    </row>
    <row r="169" spans="1:3" x14ac:dyDescent="0.3">
      <c r="A169" s="24">
        <v>43070</v>
      </c>
      <c r="B169" s="29">
        <v>5</v>
      </c>
      <c r="C169" s="26">
        <v>59520</v>
      </c>
    </row>
    <row r="170" spans="1:3" x14ac:dyDescent="0.3">
      <c r="A170" s="24">
        <v>43101</v>
      </c>
      <c r="B170" s="29">
        <v>5</v>
      </c>
      <c r="C170" s="26">
        <v>83740</v>
      </c>
    </row>
    <row r="171" spans="1:3" x14ac:dyDescent="0.3">
      <c r="A171" s="24">
        <v>43132</v>
      </c>
      <c r="B171" s="29">
        <v>5</v>
      </c>
      <c r="C171" s="26">
        <v>62230</v>
      </c>
    </row>
    <row r="172" spans="1:3" x14ac:dyDescent="0.3">
      <c r="A172" s="24">
        <v>43160</v>
      </c>
      <c r="B172" s="29">
        <v>5</v>
      </c>
      <c r="C172" s="26">
        <v>53500</v>
      </c>
    </row>
    <row r="173" spans="1:3" x14ac:dyDescent="0.3">
      <c r="A173" s="24">
        <v>43191</v>
      </c>
      <c r="B173" s="29">
        <v>5</v>
      </c>
      <c r="C173" s="26">
        <v>68440</v>
      </c>
    </row>
    <row r="174" spans="1:3" x14ac:dyDescent="0.3">
      <c r="A174" s="24">
        <v>43221</v>
      </c>
      <c r="B174" s="29">
        <v>5</v>
      </c>
      <c r="C174" s="26">
        <v>65540</v>
      </c>
    </row>
    <row r="175" spans="1:3" x14ac:dyDescent="0.3">
      <c r="A175" s="24">
        <v>43252</v>
      </c>
      <c r="B175" s="29">
        <v>5</v>
      </c>
      <c r="C175" s="26">
        <v>63130.000000000007</v>
      </c>
    </row>
    <row r="176" spans="1:3" x14ac:dyDescent="0.3">
      <c r="A176" s="24">
        <v>43282</v>
      </c>
      <c r="B176" s="29">
        <v>5</v>
      </c>
      <c r="C176" s="26">
        <v>90450</v>
      </c>
    </row>
    <row r="177" spans="1:3" x14ac:dyDescent="0.3">
      <c r="A177" s="24">
        <v>43313</v>
      </c>
      <c r="B177" s="29">
        <v>5</v>
      </c>
      <c r="C177" s="26">
        <v>56730</v>
      </c>
    </row>
    <row r="178" spans="1:3" x14ac:dyDescent="0.3">
      <c r="A178" s="24">
        <v>43344</v>
      </c>
      <c r="B178" s="29">
        <v>5</v>
      </c>
      <c r="C178" s="26">
        <v>81840</v>
      </c>
    </row>
    <row r="179" spans="1:3" x14ac:dyDescent="0.3">
      <c r="A179" s="24">
        <v>43374</v>
      </c>
      <c r="B179" s="29">
        <v>5</v>
      </c>
      <c r="C179" s="26">
        <v>49140</v>
      </c>
    </row>
    <row r="180" spans="1:3" x14ac:dyDescent="0.3">
      <c r="A180" s="24">
        <v>43405</v>
      </c>
      <c r="B180" s="29">
        <v>5</v>
      </c>
      <c r="C180" s="26">
        <v>94800</v>
      </c>
    </row>
    <row r="181" spans="1:3" x14ac:dyDescent="0.3">
      <c r="A181" s="24">
        <v>43435</v>
      </c>
      <c r="B181" s="29">
        <v>5</v>
      </c>
      <c r="C181" s="26">
        <v>64800.000000000007</v>
      </c>
    </row>
    <row r="182" spans="1:3" x14ac:dyDescent="0.3">
      <c r="A182" s="24">
        <v>42370</v>
      </c>
      <c r="B182" s="29">
        <v>6</v>
      </c>
      <c r="C182" s="26">
        <v>69580</v>
      </c>
    </row>
    <row r="183" spans="1:3" x14ac:dyDescent="0.3">
      <c r="A183" s="24">
        <v>42401</v>
      </c>
      <c r="B183" s="29">
        <v>6</v>
      </c>
      <c r="C183" s="26">
        <v>75440</v>
      </c>
    </row>
    <row r="184" spans="1:3" x14ac:dyDescent="0.3">
      <c r="A184" s="24">
        <v>42430</v>
      </c>
      <c r="B184" s="29">
        <v>6</v>
      </c>
      <c r="C184" s="26">
        <v>85140</v>
      </c>
    </row>
    <row r="185" spans="1:3" x14ac:dyDescent="0.3">
      <c r="A185" s="24">
        <v>42461</v>
      </c>
      <c r="B185" s="29">
        <v>6</v>
      </c>
      <c r="C185" s="26">
        <v>98550</v>
      </c>
    </row>
    <row r="186" spans="1:3" x14ac:dyDescent="0.3">
      <c r="A186" s="24">
        <v>42491</v>
      </c>
      <c r="B186" s="29">
        <v>6</v>
      </c>
      <c r="C186" s="26">
        <v>60970</v>
      </c>
    </row>
    <row r="187" spans="1:3" x14ac:dyDescent="0.3">
      <c r="A187" s="24">
        <v>42522</v>
      </c>
      <c r="B187" s="29">
        <v>6</v>
      </c>
      <c r="C187" s="26">
        <v>56280</v>
      </c>
    </row>
    <row r="188" spans="1:3" x14ac:dyDescent="0.3">
      <c r="A188" s="24">
        <v>42552</v>
      </c>
      <c r="B188" s="29">
        <v>6</v>
      </c>
      <c r="C188" s="26">
        <v>98560</v>
      </c>
    </row>
    <row r="189" spans="1:3" x14ac:dyDescent="0.3">
      <c r="A189" s="24">
        <v>42583</v>
      </c>
      <c r="B189" s="29">
        <v>6</v>
      </c>
      <c r="C189" s="26">
        <v>70180</v>
      </c>
    </row>
    <row r="190" spans="1:3" x14ac:dyDescent="0.3">
      <c r="A190" s="24">
        <v>42614</v>
      </c>
      <c r="B190" s="29">
        <v>6</v>
      </c>
      <c r="C190" s="26">
        <v>73810</v>
      </c>
    </row>
    <row r="191" spans="1:3" x14ac:dyDescent="0.3">
      <c r="A191" s="24">
        <v>42644</v>
      </c>
      <c r="B191" s="29">
        <v>6</v>
      </c>
      <c r="C191" s="26">
        <v>64350</v>
      </c>
    </row>
    <row r="192" spans="1:3" x14ac:dyDescent="0.3">
      <c r="A192" s="24">
        <v>42675</v>
      </c>
      <c r="B192" s="29">
        <v>6</v>
      </c>
      <c r="C192" s="26">
        <v>85150</v>
      </c>
    </row>
    <row r="193" spans="1:3" x14ac:dyDescent="0.3">
      <c r="A193" s="24">
        <v>42705</v>
      </c>
      <c r="B193" s="29">
        <v>6</v>
      </c>
      <c r="C193" s="26">
        <v>58900</v>
      </c>
    </row>
    <row r="194" spans="1:3" x14ac:dyDescent="0.3">
      <c r="A194" s="24">
        <v>42736</v>
      </c>
      <c r="B194" s="29">
        <v>6</v>
      </c>
      <c r="C194" s="26">
        <v>52700</v>
      </c>
    </row>
    <row r="195" spans="1:3" x14ac:dyDescent="0.3">
      <c r="A195" s="24">
        <v>42767</v>
      </c>
      <c r="B195" s="29">
        <v>6</v>
      </c>
      <c r="C195" s="26">
        <v>82080</v>
      </c>
    </row>
    <row r="196" spans="1:3" x14ac:dyDescent="0.3">
      <c r="A196" s="24">
        <v>42795</v>
      </c>
      <c r="B196" s="29">
        <v>6</v>
      </c>
      <c r="C196" s="26">
        <v>99560</v>
      </c>
    </row>
    <row r="197" spans="1:3" x14ac:dyDescent="0.3">
      <c r="A197" s="24">
        <v>42826</v>
      </c>
      <c r="B197" s="29">
        <v>6</v>
      </c>
      <c r="C197" s="26">
        <v>60140</v>
      </c>
    </row>
    <row r="198" spans="1:3" x14ac:dyDescent="0.3">
      <c r="A198" s="24">
        <v>42856</v>
      </c>
      <c r="B198" s="29">
        <v>6</v>
      </c>
      <c r="C198" s="26">
        <v>80300</v>
      </c>
    </row>
    <row r="199" spans="1:3" x14ac:dyDescent="0.3">
      <c r="A199" s="24">
        <v>42887</v>
      </c>
      <c r="B199" s="29">
        <v>6</v>
      </c>
      <c r="C199" s="26">
        <v>106140</v>
      </c>
    </row>
    <row r="200" spans="1:3" x14ac:dyDescent="0.3">
      <c r="A200" s="24">
        <v>42917</v>
      </c>
      <c r="B200" s="29">
        <v>6</v>
      </c>
      <c r="C200" s="26">
        <v>90750</v>
      </c>
    </row>
    <row r="201" spans="1:3" x14ac:dyDescent="0.3">
      <c r="A201" s="24">
        <v>42948</v>
      </c>
      <c r="B201" s="29">
        <v>6</v>
      </c>
      <c r="C201" s="26">
        <v>80229.999999999985</v>
      </c>
    </row>
    <row r="202" spans="1:3" x14ac:dyDescent="0.3">
      <c r="A202" s="24">
        <v>42979</v>
      </c>
      <c r="B202" s="29">
        <v>6</v>
      </c>
      <c r="C202" s="26">
        <v>66420</v>
      </c>
    </row>
    <row r="203" spans="1:3" x14ac:dyDescent="0.3">
      <c r="A203" s="24">
        <v>43009</v>
      </c>
      <c r="B203" s="29">
        <v>6</v>
      </c>
      <c r="C203" s="26">
        <v>92020</v>
      </c>
    </row>
    <row r="204" spans="1:3" x14ac:dyDescent="0.3">
      <c r="A204" s="24">
        <v>43040</v>
      </c>
      <c r="B204" s="29">
        <v>6</v>
      </c>
      <c r="C204" s="26">
        <v>65800</v>
      </c>
    </row>
    <row r="205" spans="1:3" x14ac:dyDescent="0.3">
      <c r="A205" s="24">
        <v>43070</v>
      </c>
      <c r="B205" s="29">
        <v>6</v>
      </c>
      <c r="C205" s="26">
        <v>90399.999999999985</v>
      </c>
    </row>
    <row r="206" spans="1:3" x14ac:dyDescent="0.3">
      <c r="A206" s="24">
        <v>43101</v>
      </c>
      <c r="B206" s="29">
        <v>6</v>
      </c>
      <c r="C206" s="26">
        <v>77470</v>
      </c>
    </row>
    <row r="207" spans="1:3" x14ac:dyDescent="0.3">
      <c r="A207" s="24">
        <v>43132</v>
      </c>
      <c r="B207" s="29">
        <v>6</v>
      </c>
      <c r="C207" s="26">
        <v>79200</v>
      </c>
    </row>
    <row r="208" spans="1:3" x14ac:dyDescent="0.3">
      <c r="A208" s="24">
        <v>43160</v>
      </c>
      <c r="B208" s="29">
        <v>6</v>
      </c>
      <c r="C208" s="26">
        <v>65450</v>
      </c>
    </row>
    <row r="209" spans="1:3" x14ac:dyDescent="0.3">
      <c r="A209" s="24">
        <v>43191</v>
      </c>
      <c r="B209" s="29">
        <v>6</v>
      </c>
      <c r="C209" s="26">
        <v>86100</v>
      </c>
    </row>
    <row r="210" spans="1:3" x14ac:dyDescent="0.3">
      <c r="A210" s="24">
        <v>43221</v>
      </c>
      <c r="B210" s="29">
        <v>6</v>
      </c>
      <c r="C210" s="26">
        <v>91980</v>
      </c>
    </row>
    <row r="211" spans="1:3" x14ac:dyDescent="0.3">
      <c r="A211" s="24">
        <v>43252</v>
      </c>
      <c r="B211" s="29">
        <v>6</v>
      </c>
      <c r="C211" s="26">
        <v>47850</v>
      </c>
    </row>
    <row r="212" spans="1:3" x14ac:dyDescent="0.3">
      <c r="A212" s="24">
        <v>43282</v>
      </c>
      <c r="B212" s="29">
        <v>6</v>
      </c>
      <c r="C212" s="26">
        <v>57800</v>
      </c>
    </row>
    <row r="213" spans="1:3" x14ac:dyDescent="0.3">
      <c r="A213" s="24">
        <v>43313</v>
      </c>
      <c r="B213" s="29">
        <v>6</v>
      </c>
      <c r="C213" s="26">
        <v>54150</v>
      </c>
    </row>
    <row r="214" spans="1:3" x14ac:dyDescent="0.3">
      <c r="A214" s="24">
        <v>43344</v>
      </c>
      <c r="B214" s="29">
        <v>6</v>
      </c>
      <c r="C214" s="26">
        <v>101250</v>
      </c>
    </row>
    <row r="215" spans="1:3" x14ac:dyDescent="0.3">
      <c r="A215" s="24">
        <v>43374</v>
      </c>
      <c r="B215" s="29">
        <v>6</v>
      </c>
      <c r="C215" s="26">
        <v>45920</v>
      </c>
    </row>
    <row r="216" spans="1:3" x14ac:dyDescent="0.3">
      <c r="A216" s="24">
        <v>43405</v>
      </c>
      <c r="B216" s="29">
        <v>6</v>
      </c>
      <c r="C216" s="26">
        <v>85760</v>
      </c>
    </row>
    <row r="217" spans="1:3" x14ac:dyDescent="0.3">
      <c r="A217" s="24">
        <v>43435</v>
      </c>
      <c r="B217" s="29">
        <v>6</v>
      </c>
      <c r="C217" s="26">
        <v>75690</v>
      </c>
    </row>
    <row r="218" spans="1:3" x14ac:dyDescent="0.3">
      <c r="A218" s="24">
        <v>42370</v>
      </c>
      <c r="B218" s="29">
        <v>7</v>
      </c>
      <c r="C218" s="26">
        <v>80940</v>
      </c>
    </row>
    <row r="219" spans="1:3" x14ac:dyDescent="0.3">
      <c r="A219" s="24">
        <v>42401</v>
      </c>
      <c r="B219" s="29">
        <v>7</v>
      </c>
      <c r="C219" s="26">
        <v>83300</v>
      </c>
    </row>
    <row r="220" spans="1:3" x14ac:dyDescent="0.3">
      <c r="A220" s="24">
        <v>42430</v>
      </c>
      <c r="B220" s="29">
        <v>7</v>
      </c>
      <c r="C220" s="26">
        <v>66960</v>
      </c>
    </row>
    <row r="221" spans="1:3" x14ac:dyDescent="0.3">
      <c r="A221" s="24">
        <v>42461</v>
      </c>
      <c r="B221" s="29">
        <v>7</v>
      </c>
      <c r="C221" s="26">
        <v>70200</v>
      </c>
    </row>
    <row r="222" spans="1:3" x14ac:dyDescent="0.3">
      <c r="A222" s="24">
        <v>42491</v>
      </c>
      <c r="B222" s="29">
        <v>7</v>
      </c>
      <c r="C222" s="26">
        <v>73920</v>
      </c>
    </row>
    <row r="223" spans="1:3" x14ac:dyDescent="0.3">
      <c r="A223" s="24">
        <v>42522</v>
      </c>
      <c r="B223" s="29">
        <v>7</v>
      </c>
      <c r="C223" s="26">
        <v>113400.00000000001</v>
      </c>
    </row>
    <row r="224" spans="1:3" x14ac:dyDescent="0.3">
      <c r="A224" s="24">
        <v>42552</v>
      </c>
      <c r="B224" s="29">
        <v>7</v>
      </c>
      <c r="C224" s="26">
        <v>71380</v>
      </c>
    </row>
    <row r="225" spans="1:3" x14ac:dyDescent="0.3">
      <c r="A225" s="24">
        <v>42583</v>
      </c>
      <c r="B225" s="29">
        <v>7</v>
      </c>
      <c r="C225" s="26">
        <v>72540</v>
      </c>
    </row>
    <row r="226" spans="1:3" x14ac:dyDescent="0.3">
      <c r="A226" s="24">
        <v>42614</v>
      </c>
      <c r="B226" s="29">
        <v>7</v>
      </c>
      <c r="C226" s="26">
        <v>84240</v>
      </c>
    </row>
    <row r="227" spans="1:3" x14ac:dyDescent="0.3">
      <c r="A227" s="24">
        <v>42644</v>
      </c>
      <c r="B227" s="29">
        <v>7</v>
      </c>
      <c r="C227" s="26">
        <v>70400</v>
      </c>
    </row>
    <row r="228" spans="1:3" x14ac:dyDescent="0.3">
      <c r="A228" s="24">
        <v>42675</v>
      </c>
      <c r="B228" s="29">
        <v>7</v>
      </c>
      <c r="C228" s="26">
        <v>66330</v>
      </c>
    </row>
    <row r="229" spans="1:3" x14ac:dyDescent="0.3">
      <c r="A229" s="24">
        <v>42705</v>
      </c>
      <c r="B229" s="29">
        <v>7</v>
      </c>
      <c r="C229" s="26">
        <v>69550</v>
      </c>
    </row>
    <row r="230" spans="1:3" x14ac:dyDescent="0.3">
      <c r="A230" s="24">
        <v>42736</v>
      </c>
      <c r="B230" s="29">
        <v>7</v>
      </c>
      <c r="C230" s="26">
        <v>89250</v>
      </c>
    </row>
    <row r="231" spans="1:3" x14ac:dyDescent="0.3">
      <c r="A231" s="24">
        <v>42767</v>
      </c>
      <c r="B231" s="29">
        <v>7</v>
      </c>
      <c r="C231" s="26">
        <v>72090</v>
      </c>
    </row>
    <row r="232" spans="1:3" x14ac:dyDescent="0.3">
      <c r="A232" s="24">
        <v>42795</v>
      </c>
      <c r="B232" s="29">
        <v>7</v>
      </c>
      <c r="C232" s="26">
        <v>63000</v>
      </c>
    </row>
    <row r="233" spans="1:3" x14ac:dyDescent="0.3">
      <c r="A233" s="24">
        <v>42826</v>
      </c>
      <c r="B233" s="29">
        <v>7</v>
      </c>
      <c r="C233" s="26">
        <v>60000</v>
      </c>
    </row>
    <row r="234" spans="1:3" x14ac:dyDescent="0.3">
      <c r="A234" s="24">
        <v>42856</v>
      </c>
      <c r="B234" s="29">
        <v>7</v>
      </c>
      <c r="C234" s="26">
        <v>78840</v>
      </c>
    </row>
    <row r="235" spans="1:3" x14ac:dyDescent="0.3">
      <c r="A235" s="24">
        <v>42887</v>
      </c>
      <c r="B235" s="29">
        <v>7</v>
      </c>
      <c r="C235" s="26">
        <v>66550</v>
      </c>
    </row>
    <row r="236" spans="1:3" x14ac:dyDescent="0.3">
      <c r="A236" s="24">
        <v>42917</v>
      </c>
      <c r="B236" s="29">
        <v>7</v>
      </c>
      <c r="C236" s="26">
        <v>82320</v>
      </c>
    </row>
    <row r="237" spans="1:3" x14ac:dyDescent="0.3">
      <c r="A237" s="24">
        <v>42948</v>
      </c>
      <c r="B237" s="29">
        <v>7</v>
      </c>
      <c r="C237" s="26">
        <v>58300.000000000007</v>
      </c>
    </row>
    <row r="238" spans="1:3" x14ac:dyDescent="0.3">
      <c r="A238" s="24">
        <v>42979</v>
      </c>
      <c r="B238" s="29">
        <v>7</v>
      </c>
      <c r="C238" s="26">
        <v>70070</v>
      </c>
    </row>
    <row r="239" spans="1:3" x14ac:dyDescent="0.3">
      <c r="A239" s="24">
        <v>43009</v>
      </c>
      <c r="B239" s="29">
        <v>7</v>
      </c>
      <c r="C239" s="26">
        <v>60480</v>
      </c>
    </row>
    <row r="240" spans="1:3" x14ac:dyDescent="0.3">
      <c r="A240" s="24">
        <v>43040</v>
      </c>
      <c r="B240" s="29">
        <v>7</v>
      </c>
      <c r="C240" s="26">
        <v>82080</v>
      </c>
    </row>
    <row r="241" spans="1:3" x14ac:dyDescent="0.3">
      <c r="A241" s="24">
        <v>43070</v>
      </c>
      <c r="B241" s="29">
        <v>7</v>
      </c>
      <c r="C241" s="26">
        <v>78260</v>
      </c>
    </row>
    <row r="242" spans="1:3" x14ac:dyDescent="0.3">
      <c r="A242" s="24">
        <v>43101</v>
      </c>
      <c r="B242" s="29">
        <v>7</v>
      </c>
      <c r="C242" s="26">
        <v>93800</v>
      </c>
    </row>
    <row r="243" spans="1:3" x14ac:dyDescent="0.3">
      <c r="A243" s="24">
        <v>43132</v>
      </c>
      <c r="B243" s="29">
        <v>7</v>
      </c>
      <c r="C243" s="26">
        <v>102660</v>
      </c>
    </row>
    <row r="244" spans="1:3" x14ac:dyDescent="0.3">
      <c r="A244" s="24">
        <v>43160</v>
      </c>
      <c r="B244" s="29">
        <v>7</v>
      </c>
      <c r="C244" s="26">
        <v>88740</v>
      </c>
    </row>
    <row r="245" spans="1:3" x14ac:dyDescent="0.3">
      <c r="A245" s="24">
        <v>43191</v>
      </c>
      <c r="B245" s="29">
        <v>7</v>
      </c>
      <c r="C245" s="26">
        <v>71000</v>
      </c>
    </row>
    <row r="246" spans="1:3" x14ac:dyDescent="0.3">
      <c r="A246" s="24">
        <v>43221</v>
      </c>
      <c r="B246" s="29">
        <v>7</v>
      </c>
      <c r="C246" s="26">
        <v>66030</v>
      </c>
    </row>
    <row r="247" spans="1:3" x14ac:dyDescent="0.3">
      <c r="A247" s="24">
        <v>43252</v>
      </c>
      <c r="B247" s="29">
        <v>7</v>
      </c>
      <c r="C247" s="26">
        <v>113970</v>
      </c>
    </row>
    <row r="248" spans="1:3" x14ac:dyDescent="0.3">
      <c r="A248" s="24">
        <v>43282</v>
      </c>
      <c r="B248" s="29">
        <v>7</v>
      </c>
      <c r="C248" s="26">
        <v>97900.000000000015</v>
      </c>
    </row>
    <row r="249" spans="1:3" x14ac:dyDescent="0.3">
      <c r="A249" s="24">
        <v>43313</v>
      </c>
      <c r="B249" s="29">
        <v>7</v>
      </c>
      <c r="C249" s="26">
        <v>53760</v>
      </c>
    </row>
    <row r="250" spans="1:3" x14ac:dyDescent="0.3">
      <c r="A250" s="24">
        <v>43344</v>
      </c>
      <c r="B250" s="29">
        <v>7</v>
      </c>
      <c r="C250" s="26">
        <v>91840.000000000015</v>
      </c>
    </row>
    <row r="251" spans="1:3" x14ac:dyDescent="0.3">
      <c r="A251" s="24">
        <v>43374</v>
      </c>
      <c r="B251" s="29">
        <v>7</v>
      </c>
      <c r="C251" s="26">
        <v>73500</v>
      </c>
    </row>
    <row r="252" spans="1:3" x14ac:dyDescent="0.3">
      <c r="A252" s="24">
        <v>43405</v>
      </c>
      <c r="B252" s="29">
        <v>7</v>
      </c>
      <c r="C252" s="26">
        <v>64960.000000000007</v>
      </c>
    </row>
    <row r="253" spans="1:3" x14ac:dyDescent="0.3">
      <c r="A253" s="24">
        <v>43435</v>
      </c>
      <c r="B253" s="29">
        <v>7</v>
      </c>
      <c r="C253" s="26">
        <v>67500</v>
      </c>
    </row>
    <row r="254" spans="1:3" x14ac:dyDescent="0.3">
      <c r="A254" s="24">
        <v>42370</v>
      </c>
      <c r="B254" s="29">
        <v>8</v>
      </c>
      <c r="C254" s="26">
        <v>94900</v>
      </c>
    </row>
    <row r="255" spans="1:3" x14ac:dyDescent="0.3">
      <c r="A255" s="24">
        <v>42401</v>
      </c>
      <c r="B255" s="29">
        <v>8</v>
      </c>
      <c r="C255" s="26">
        <v>106600</v>
      </c>
    </row>
    <row r="256" spans="1:3" x14ac:dyDescent="0.3">
      <c r="A256" s="24">
        <v>42430</v>
      </c>
      <c r="B256" s="29">
        <v>8</v>
      </c>
      <c r="C256" s="26">
        <v>72520</v>
      </c>
    </row>
    <row r="257" spans="1:3" x14ac:dyDescent="0.3">
      <c r="A257" s="24">
        <v>42461</v>
      </c>
      <c r="B257" s="29">
        <v>8</v>
      </c>
      <c r="C257" s="26">
        <v>78960</v>
      </c>
    </row>
    <row r="258" spans="1:3" x14ac:dyDescent="0.3">
      <c r="A258" s="24">
        <v>42491</v>
      </c>
      <c r="B258" s="29">
        <v>8</v>
      </c>
      <c r="C258" s="26">
        <v>74620</v>
      </c>
    </row>
    <row r="259" spans="1:3" x14ac:dyDescent="0.3">
      <c r="A259" s="24">
        <v>42522</v>
      </c>
      <c r="B259" s="29">
        <v>8</v>
      </c>
      <c r="C259" s="26">
        <v>68060</v>
      </c>
    </row>
    <row r="260" spans="1:3" x14ac:dyDescent="0.3">
      <c r="A260" s="24">
        <v>42552</v>
      </c>
      <c r="B260" s="29">
        <v>8</v>
      </c>
      <c r="C260" s="26">
        <v>109650</v>
      </c>
    </row>
    <row r="261" spans="1:3" x14ac:dyDescent="0.3">
      <c r="A261" s="24">
        <v>42583</v>
      </c>
      <c r="B261" s="29">
        <v>8</v>
      </c>
      <c r="C261" s="26">
        <v>97200</v>
      </c>
    </row>
    <row r="262" spans="1:3" x14ac:dyDescent="0.3">
      <c r="A262" s="24">
        <v>42614</v>
      </c>
      <c r="B262" s="29">
        <v>8</v>
      </c>
      <c r="C262" s="26">
        <v>73360</v>
      </c>
    </row>
    <row r="263" spans="1:3" x14ac:dyDescent="0.3">
      <c r="A263" s="24">
        <v>42644</v>
      </c>
      <c r="B263" s="29">
        <v>8</v>
      </c>
      <c r="C263" s="26">
        <v>96720</v>
      </c>
    </row>
    <row r="264" spans="1:3" x14ac:dyDescent="0.3">
      <c r="A264" s="24">
        <v>42675</v>
      </c>
      <c r="B264" s="29">
        <v>8</v>
      </c>
      <c r="C264" s="26">
        <v>65720</v>
      </c>
    </row>
    <row r="265" spans="1:3" x14ac:dyDescent="0.3">
      <c r="A265" s="24">
        <v>42705</v>
      </c>
      <c r="B265" s="29">
        <v>8</v>
      </c>
      <c r="C265" s="26">
        <v>97440</v>
      </c>
    </row>
    <row r="266" spans="1:3" x14ac:dyDescent="0.3">
      <c r="A266" s="24">
        <v>42736</v>
      </c>
      <c r="B266" s="29">
        <v>8</v>
      </c>
      <c r="C266" s="26">
        <v>68880</v>
      </c>
    </row>
    <row r="267" spans="1:3" x14ac:dyDescent="0.3">
      <c r="A267" s="24">
        <v>42767</v>
      </c>
      <c r="B267" s="29">
        <v>8</v>
      </c>
      <c r="C267" s="26">
        <v>56650</v>
      </c>
    </row>
    <row r="268" spans="1:3" x14ac:dyDescent="0.3">
      <c r="A268" s="24">
        <v>42795</v>
      </c>
      <c r="B268" s="29">
        <v>8</v>
      </c>
      <c r="C268" s="26">
        <v>53300</v>
      </c>
    </row>
    <row r="269" spans="1:3" x14ac:dyDescent="0.3">
      <c r="A269" s="24">
        <v>42826</v>
      </c>
      <c r="B269" s="29">
        <v>8</v>
      </c>
      <c r="C269" s="26">
        <v>108730</v>
      </c>
    </row>
    <row r="270" spans="1:3" x14ac:dyDescent="0.3">
      <c r="A270" s="24">
        <v>42856</v>
      </c>
      <c r="B270" s="29">
        <v>8</v>
      </c>
      <c r="C270" s="26">
        <v>78440</v>
      </c>
    </row>
    <row r="271" spans="1:3" x14ac:dyDescent="0.3">
      <c r="A271" s="24">
        <v>42887</v>
      </c>
      <c r="B271" s="29">
        <v>8</v>
      </c>
      <c r="C271" s="26">
        <v>109470</v>
      </c>
    </row>
    <row r="272" spans="1:3" x14ac:dyDescent="0.3">
      <c r="A272" s="24">
        <v>42917</v>
      </c>
      <c r="B272" s="29">
        <v>8</v>
      </c>
      <c r="C272" s="26">
        <v>77440</v>
      </c>
    </row>
    <row r="273" spans="1:3" x14ac:dyDescent="0.3">
      <c r="A273" s="24">
        <v>42948</v>
      </c>
      <c r="B273" s="29">
        <v>8</v>
      </c>
      <c r="C273" s="26">
        <v>113900</v>
      </c>
    </row>
    <row r="274" spans="1:3" x14ac:dyDescent="0.3">
      <c r="A274" s="24">
        <v>42979</v>
      </c>
      <c r="B274" s="29">
        <v>8</v>
      </c>
      <c r="C274" s="26">
        <v>65920</v>
      </c>
    </row>
    <row r="275" spans="1:3" x14ac:dyDescent="0.3">
      <c r="A275" s="24">
        <v>43009</v>
      </c>
      <c r="B275" s="29">
        <v>8</v>
      </c>
      <c r="C275" s="26">
        <v>108540</v>
      </c>
    </row>
    <row r="276" spans="1:3" x14ac:dyDescent="0.3">
      <c r="A276" s="24">
        <v>43040</v>
      </c>
      <c r="B276" s="29">
        <v>8</v>
      </c>
      <c r="C276" s="26">
        <v>60030</v>
      </c>
    </row>
    <row r="277" spans="1:3" x14ac:dyDescent="0.3">
      <c r="A277" s="24">
        <v>43070</v>
      </c>
      <c r="B277" s="29">
        <v>8</v>
      </c>
      <c r="C277" s="26">
        <v>59160</v>
      </c>
    </row>
    <row r="278" spans="1:3" x14ac:dyDescent="0.3">
      <c r="A278" s="24">
        <v>43101</v>
      </c>
      <c r="B278" s="29">
        <v>8</v>
      </c>
      <c r="C278" s="26">
        <v>72390</v>
      </c>
    </row>
    <row r="279" spans="1:3" x14ac:dyDescent="0.3">
      <c r="A279" s="24">
        <v>43132</v>
      </c>
      <c r="B279" s="29">
        <v>8</v>
      </c>
      <c r="C279" s="26">
        <v>67980</v>
      </c>
    </row>
    <row r="280" spans="1:3" x14ac:dyDescent="0.3">
      <c r="A280" s="24">
        <v>43160</v>
      </c>
      <c r="B280" s="29">
        <v>8</v>
      </c>
      <c r="C280" s="26">
        <v>62130.000000000007</v>
      </c>
    </row>
    <row r="281" spans="1:3" x14ac:dyDescent="0.3">
      <c r="A281" s="24">
        <v>43191</v>
      </c>
      <c r="B281" s="29">
        <v>8</v>
      </c>
      <c r="C281" s="26">
        <v>113900</v>
      </c>
    </row>
    <row r="282" spans="1:3" x14ac:dyDescent="0.3">
      <c r="A282" s="24">
        <v>43221</v>
      </c>
      <c r="B282" s="29">
        <v>8</v>
      </c>
      <c r="C282" s="26">
        <v>89540</v>
      </c>
    </row>
    <row r="283" spans="1:3" x14ac:dyDescent="0.3">
      <c r="A283" s="24">
        <v>43252</v>
      </c>
      <c r="B283" s="29">
        <v>8</v>
      </c>
      <c r="C283" s="26">
        <v>81359.999999999985</v>
      </c>
    </row>
    <row r="284" spans="1:3" x14ac:dyDescent="0.3">
      <c r="A284" s="24">
        <v>43282</v>
      </c>
      <c r="B284" s="29">
        <v>8</v>
      </c>
      <c r="C284" s="26">
        <v>107100</v>
      </c>
    </row>
    <row r="285" spans="1:3" x14ac:dyDescent="0.3">
      <c r="A285" s="24">
        <v>43313</v>
      </c>
      <c r="B285" s="29">
        <v>8</v>
      </c>
      <c r="C285" s="26">
        <v>87690.000000000015</v>
      </c>
    </row>
    <row r="286" spans="1:3" x14ac:dyDescent="0.3">
      <c r="A286" s="24">
        <v>43344</v>
      </c>
      <c r="B286" s="29">
        <v>8</v>
      </c>
      <c r="C286" s="26">
        <v>50400</v>
      </c>
    </row>
    <row r="287" spans="1:3" x14ac:dyDescent="0.3">
      <c r="A287" s="24">
        <v>43374</v>
      </c>
      <c r="B287" s="29">
        <v>8</v>
      </c>
      <c r="C287" s="26">
        <v>62100</v>
      </c>
    </row>
    <row r="288" spans="1:3" x14ac:dyDescent="0.3">
      <c r="A288" s="24">
        <v>43405</v>
      </c>
      <c r="B288" s="29">
        <v>8</v>
      </c>
      <c r="C288" s="26">
        <v>105270</v>
      </c>
    </row>
    <row r="289" spans="1:3" x14ac:dyDescent="0.3">
      <c r="A289" s="24">
        <v>43435</v>
      </c>
      <c r="B289" s="29">
        <v>8</v>
      </c>
      <c r="C289" s="26">
        <v>64050</v>
      </c>
    </row>
    <row r="290" spans="1:3" x14ac:dyDescent="0.3">
      <c r="A290" s="24">
        <v>42370</v>
      </c>
      <c r="B290" s="29">
        <v>9</v>
      </c>
      <c r="C290" s="26">
        <v>84320</v>
      </c>
    </row>
    <row r="291" spans="1:3" x14ac:dyDescent="0.3">
      <c r="A291" s="24">
        <v>42401</v>
      </c>
      <c r="B291" s="29">
        <v>9</v>
      </c>
      <c r="C291" s="26">
        <v>71500</v>
      </c>
    </row>
    <row r="292" spans="1:3" x14ac:dyDescent="0.3">
      <c r="A292" s="24">
        <v>42430</v>
      </c>
      <c r="B292" s="29">
        <v>9</v>
      </c>
      <c r="C292" s="26">
        <v>71890</v>
      </c>
    </row>
    <row r="293" spans="1:3" x14ac:dyDescent="0.3">
      <c r="A293" s="24">
        <v>42461</v>
      </c>
      <c r="B293" s="29">
        <v>9</v>
      </c>
      <c r="C293" s="26">
        <v>87750</v>
      </c>
    </row>
    <row r="294" spans="1:3" x14ac:dyDescent="0.3">
      <c r="A294" s="24">
        <v>42491</v>
      </c>
      <c r="B294" s="29">
        <v>9</v>
      </c>
      <c r="C294" s="26">
        <v>66030</v>
      </c>
    </row>
    <row r="295" spans="1:3" x14ac:dyDescent="0.3">
      <c r="A295" s="24">
        <v>42522</v>
      </c>
      <c r="B295" s="29">
        <v>9</v>
      </c>
      <c r="C295" s="26">
        <v>90520</v>
      </c>
    </row>
    <row r="296" spans="1:3" x14ac:dyDescent="0.3">
      <c r="A296" s="24">
        <v>42552</v>
      </c>
      <c r="B296" s="29">
        <v>9</v>
      </c>
      <c r="C296" s="26">
        <v>82390</v>
      </c>
    </row>
    <row r="297" spans="1:3" x14ac:dyDescent="0.3">
      <c r="A297" s="24">
        <v>42583</v>
      </c>
      <c r="B297" s="29">
        <v>9</v>
      </c>
      <c r="C297" s="26">
        <v>63240</v>
      </c>
    </row>
    <row r="298" spans="1:3" x14ac:dyDescent="0.3">
      <c r="A298" s="24">
        <v>42614</v>
      </c>
      <c r="B298" s="29">
        <v>9</v>
      </c>
      <c r="C298" s="26">
        <v>88500</v>
      </c>
    </row>
    <row r="299" spans="1:3" x14ac:dyDescent="0.3">
      <c r="A299" s="24">
        <v>42644</v>
      </c>
      <c r="B299" s="29">
        <v>9</v>
      </c>
      <c r="C299" s="26">
        <v>66080</v>
      </c>
    </row>
    <row r="300" spans="1:3" x14ac:dyDescent="0.3">
      <c r="A300" s="24">
        <v>42675</v>
      </c>
      <c r="B300" s="29">
        <v>9</v>
      </c>
      <c r="C300" s="26">
        <v>85150</v>
      </c>
    </row>
    <row r="301" spans="1:3" x14ac:dyDescent="0.3">
      <c r="A301" s="24">
        <v>42705</v>
      </c>
      <c r="B301" s="29">
        <v>9</v>
      </c>
      <c r="C301" s="26">
        <v>99200</v>
      </c>
    </row>
    <row r="302" spans="1:3" x14ac:dyDescent="0.3">
      <c r="A302" s="24">
        <v>42736</v>
      </c>
      <c r="B302" s="29">
        <v>9</v>
      </c>
      <c r="C302" s="26">
        <v>57420</v>
      </c>
    </row>
    <row r="303" spans="1:3" x14ac:dyDescent="0.3">
      <c r="A303" s="24">
        <v>42767</v>
      </c>
      <c r="B303" s="29">
        <v>9</v>
      </c>
      <c r="C303" s="26">
        <v>52440</v>
      </c>
    </row>
    <row r="304" spans="1:3" x14ac:dyDescent="0.3">
      <c r="A304" s="24">
        <v>42795</v>
      </c>
      <c r="B304" s="29">
        <v>9</v>
      </c>
      <c r="C304" s="26">
        <v>51030</v>
      </c>
    </row>
    <row r="305" spans="1:3" x14ac:dyDescent="0.3">
      <c r="A305" s="24">
        <v>42826</v>
      </c>
      <c r="B305" s="29">
        <v>9</v>
      </c>
      <c r="C305" s="26">
        <v>77490</v>
      </c>
    </row>
    <row r="306" spans="1:3" x14ac:dyDescent="0.3">
      <c r="A306" s="24">
        <v>42856</v>
      </c>
      <c r="B306" s="29">
        <v>9</v>
      </c>
      <c r="C306" s="26">
        <v>73750</v>
      </c>
    </row>
    <row r="307" spans="1:3" x14ac:dyDescent="0.3">
      <c r="A307" s="24">
        <v>42887</v>
      </c>
      <c r="B307" s="29">
        <v>9</v>
      </c>
      <c r="C307" s="26">
        <v>57820</v>
      </c>
    </row>
    <row r="308" spans="1:3" x14ac:dyDescent="0.3">
      <c r="A308" s="24">
        <v>42917</v>
      </c>
      <c r="B308" s="29">
        <v>9</v>
      </c>
      <c r="C308" s="26">
        <v>57950</v>
      </c>
    </row>
    <row r="309" spans="1:3" x14ac:dyDescent="0.3">
      <c r="A309" s="24">
        <v>42948</v>
      </c>
      <c r="B309" s="29">
        <v>9</v>
      </c>
      <c r="C309" s="26">
        <v>105410</v>
      </c>
    </row>
    <row r="310" spans="1:3" x14ac:dyDescent="0.3">
      <c r="A310" s="24">
        <v>42979</v>
      </c>
      <c r="B310" s="29">
        <v>9</v>
      </c>
      <c r="C310" s="26">
        <v>89680</v>
      </c>
    </row>
    <row r="311" spans="1:3" x14ac:dyDescent="0.3">
      <c r="A311" s="24">
        <v>43009</v>
      </c>
      <c r="B311" s="29">
        <v>9</v>
      </c>
      <c r="C311" s="26">
        <v>73440</v>
      </c>
    </row>
    <row r="312" spans="1:3" x14ac:dyDescent="0.3">
      <c r="A312" s="24">
        <v>43040</v>
      </c>
      <c r="B312" s="29">
        <v>9</v>
      </c>
      <c r="C312" s="26">
        <v>64740</v>
      </c>
    </row>
    <row r="313" spans="1:3" x14ac:dyDescent="0.3">
      <c r="A313" s="24">
        <v>43070</v>
      </c>
      <c r="B313" s="29">
        <v>9</v>
      </c>
      <c r="C313" s="26">
        <v>72960</v>
      </c>
    </row>
    <row r="314" spans="1:3" x14ac:dyDescent="0.3">
      <c r="A314" s="24">
        <v>43101</v>
      </c>
      <c r="B314" s="29">
        <v>9</v>
      </c>
      <c r="C314" s="26">
        <v>68640</v>
      </c>
    </row>
    <row r="315" spans="1:3" x14ac:dyDescent="0.3">
      <c r="A315" s="24">
        <v>43132</v>
      </c>
      <c r="B315" s="29">
        <v>9</v>
      </c>
      <c r="C315" s="26">
        <v>63240</v>
      </c>
    </row>
    <row r="316" spans="1:3" x14ac:dyDescent="0.3">
      <c r="A316" s="24">
        <v>43160</v>
      </c>
      <c r="B316" s="29">
        <v>9</v>
      </c>
      <c r="C316" s="26">
        <v>72590</v>
      </c>
    </row>
    <row r="317" spans="1:3" x14ac:dyDescent="0.3">
      <c r="A317" s="24">
        <v>43191</v>
      </c>
      <c r="B317" s="29">
        <v>9</v>
      </c>
      <c r="C317" s="26">
        <v>102400</v>
      </c>
    </row>
    <row r="318" spans="1:3" x14ac:dyDescent="0.3">
      <c r="A318" s="24">
        <v>43221</v>
      </c>
      <c r="B318" s="29">
        <v>9</v>
      </c>
      <c r="C318" s="26">
        <v>80250</v>
      </c>
    </row>
    <row r="319" spans="1:3" x14ac:dyDescent="0.3">
      <c r="A319" s="24">
        <v>43252</v>
      </c>
      <c r="B319" s="29">
        <v>9</v>
      </c>
      <c r="C319" s="26">
        <v>108000</v>
      </c>
    </row>
    <row r="320" spans="1:3" x14ac:dyDescent="0.3">
      <c r="A320" s="24">
        <v>43282</v>
      </c>
      <c r="B320" s="29">
        <v>9</v>
      </c>
      <c r="C320" s="26">
        <v>63220.000000000007</v>
      </c>
    </row>
    <row r="321" spans="1:3" x14ac:dyDescent="0.3">
      <c r="A321" s="24">
        <v>43313</v>
      </c>
      <c r="B321" s="29">
        <v>9</v>
      </c>
      <c r="C321" s="26">
        <v>84870</v>
      </c>
    </row>
    <row r="322" spans="1:3" x14ac:dyDescent="0.3">
      <c r="A322" s="24">
        <v>43344</v>
      </c>
      <c r="B322" s="29">
        <v>9</v>
      </c>
      <c r="C322" s="26">
        <v>71070</v>
      </c>
    </row>
    <row r="323" spans="1:3" x14ac:dyDescent="0.3">
      <c r="A323" s="24">
        <v>43374</v>
      </c>
      <c r="B323" s="29">
        <v>9</v>
      </c>
      <c r="C323" s="26">
        <v>63440</v>
      </c>
    </row>
    <row r="324" spans="1:3" x14ac:dyDescent="0.3">
      <c r="A324" s="24">
        <v>43405</v>
      </c>
      <c r="B324" s="29">
        <v>9</v>
      </c>
      <c r="C324" s="26">
        <v>78850</v>
      </c>
    </row>
    <row r="325" spans="1:3" x14ac:dyDescent="0.3">
      <c r="A325" s="24">
        <v>43435</v>
      </c>
      <c r="B325" s="29">
        <v>9</v>
      </c>
      <c r="C325" s="26">
        <v>63990.000000000007</v>
      </c>
    </row>
    <row r="326" spans="1:3" x14ac:dyDescent="0.3">
      <c r="A326" s="24">
        <v>42370</v>
      </c>
      <c r="B326" s="29">
        <v>10</v>
      </c>
      <c r="C326" s="26">
        <v>61320</v>
      </c>
    </row>
    <row r="327" spans="1:3" x14ac:dyDescent="0.3">
      <c r="A327" s="24">
        <v>42401</v>
      </c>
      <c r="B327" s="29">
        <v>10</v>
      </c>
      <c r="C327" s="26">
        <v>44000</v>
      </c>
    </row>
    <row r="328" spans="1:3" x14ac:dyDescent="0.3">
      <c r="A328" s="24">
        <v>42430</v>
      </c>
      <c r="B328" s="29">
        <v>10</v>
      </c>
      <c r="C328" s="26">
        <v>68400</v>
      </c>
    </row>
    <row r="329" spans="1:3" x14ac:dyDescent="0.3">
      <c r="A329" s="24">
        <v>42461</v>
      </c>
      <c r="B329" s="29">
        <v>10</v>
      </c>
      <c r="C329" s="26">
        <v>59780</v>
      </c>
    </row>
    <row r="330" spans="1:3" x14ac:dyDescent="0.3">
      <c r="A330" s="24">
        <v>42491</v>
      </c>
      <c r="B330" s="29">
        <v>10</v>
      </c>
      <c r="C330" s="26">
        <v>86670</v>
      </c>
    </row>
    <row r="331" spans="1:3" x14ac:dyDescent="0.3">
      <c r="A331" s="24">
        <v>42522</v>
      </c>
      <c r="B331" s="29">
        <v>10</v>
      </c>
      <c r="C331" s="26">
        <v>95460</v>
      </c>
    </row>
    <row r="332" spans="1:3" x14ac:dyDescent="0.3">
      <c r="A332" s="24">
        <v>42552</v>
      </c>
      <c r="B332" s="29">
        <v>10</v>
      </c>
      <c r="C332" s="26">
        <v>67580</v>
      </c>
    </row>
    <row r="333" spans="1:3" x14ac:dyDescent="0.3">
      <c r="A333" s="24">
        <v>42583</v>
      </c>
      <c r="B333" s="29">
        <v>10</v>
      </c>
      <c r="C333" s="26">
        <v>60680</v>
      </c>
    </row>
    <row r="334" spans="1:3" x14ac:dyDescent="0.3">
      <c r="A334" s="24">
        <v>42614</v>
      </c>
      <c r="B334" s="29">
        <v>10</v>
      </c>
      <c r="C334" s="26">
        <v>89760</v>
      </c>
    </row>
    <row r="335" spans="1:3" x14ac:dyDescent="0.3">
      <c r="A335" s="24">
        <v>42644</v>
      </c>
      <c r="B335" s="29">
        <v>10</v>
      </c>
      <c r="C335" s="26">
        <v>54780</v>
      </c>
    </row>
    <row r="336" spans="1:3" x14ac:dyDescent="0.3">
      <c r="A336" s="24">
        <v>42675</v>
      </c>
      <c r="B336" s="29">
        <v>10</v>
      </c>
      <c r="C336" s="26">
        <v>83720</v>
      </c>
    </row>
    <row r="337" spans="1:3" x14ac:dyDescent="0.3">
      <c r="A337" s="24">
        <v>42705</v>
      </c>
      <c r="B337" s="29">
        <v>10</v>
      </c>
      <c r="C337" s="26">
        <v>78810</v>
      </c>
    </row>
    <row r="338" spans="1:3" x14ac:dyDescent="0.3">
      <c r="A338" s="24">
        <v>42736</v>
      </c>
      <c r="B338" s="29">
        <v>10</v>
      </c>
      <c r="C338" s="26">
        <v>81180</v>
      </c>
    </row>
    <row r="339" spans="1:3" x14ac:dyDescent="0.3">
      <c r="A339" s="24">
        <v>42767</v>
      </c>
      <c r="B339" s="29">
        <v>10</v>
      </c>
      <c r="C339" s="26">
        <v>73950</v>
      </c>
    </row>
    <row r="340" spans="1:3" x14ac:dyDescent="0.3">
      <c r="A340" s="24">
        <v>42795</v>
      </c>
      <c r="B340" s="29">
        <v>10</v>
      </c>
      <c r="C340" s="26">
        <v>62400</v>
      </c>
    </row>
    <row r="341" spans="1:3" x14ac:dyDescent="0.3">
      <c r="A341" s="24">
        <v>42826</v>
      </c>
      <c r="B341" s="29">
        <v>10</v>
      </c>
      <c r="C341" s="26">
        <v>52480</v>
      </c>
    </row>
    <row r="342" spans="1:3" x14ac:dyDescent="0.3">
      <c r="A342" s="24">
        <v>42856</v>
      </c>
      <c r="B342" s="29">
        <v>10</v>
      </c>
      <c r="C342" s="26">
        <v>102340</v>
      </c>
    </row>
    <row r="343" spans="1:3" x14ac:dyDescent="0.3">
      <c r="A343" s="24">
        <v>42887</v>
      </c>
      <c r="B343" s="29">
        <v>10</v>
      </c>
      <c r="C343" s="26">
        <v>109200</v>
      </c>
    </row>
    <row r="344" spans="1:3" x14ac:dyDescent="0.3">
      <c r="A344" s="24">
        <v>42917</v>
      </c>
      <c r="B344" s="29">
        <v>10</v>
      </c>
      <c r="C344" s="26">
        <v>49880</v>
      </c>
    </row>
    <row r="345" spans="1:3" x14ac:dyDescent="0.3">
      <c r="A345" s="24">
        <v>42948</v>
      </c>
      <c r="B345" s="29">
        <v>10</v>
      </c>
      <c r="C345" s="26">
        <v>86320</v>
      </c>
    </row>
    <row r="346" spans="1:3" x14ac:dyDescent="0.3">
      <c r="A346" s="24">
        <v>42979</v>
      </c>
      <c r="B346" s="29">
        <v>10</v>
      </c>
      <c r="C346" s="26">
        <v>88800</v>
      </c>
    </row>
    <row r="347" spans="1:3" x14ac:dyDescent="0.3">
      <c r="A347" s="24">
        <v>43009</v>
      </c>
      <c r="B347" s="29">
        <v>10</v>
      </c>
      <c r="C347" s="26">
        <v>120150.00000000001</v>
      </c>
    </row>
    <row r="348" spans="1:3" x14ac:dyDescent="0.3">
      <c r="A348" s="24">
        <v>43040</v>
      </c>
      <c r="B348" s="29">
        <v>10</v>
      </c>
      <c r="C348" s="26">
        <v>72160</v>
      </c>
    </row>
    <row r="349" spans="1:3" x14ac:dyDescent="0.3">
      <c r="A349" s="24">
        <v>43070</v>
      </c>
      <c r="B349" s="29">
        <v>10</v>
      </c>
      <c r="C349" s="26">
        <v>69600</v>
      </c>
    </row>
    <row r="350" spans="1:3" x14ac:dyDescent="0.3">
      <c r="A350" s="24">
        <v>43101</v>
      </c>
      <c r="B350" s="29">
        <v>10</v>
      </c>
      <c r="C350" s="26">
        <v>112560</v>
      </c>
    </row>
    <row r="351" spans="1:3" x14ac:dyDescent="0.3">
      <c r="A351" s="24">
        <v>43132</v>
      </c>
      <c r="B351" s="29">
        <v>10</v>
      </c>
      <c r="C351" s="26">
        <v>68530</v>
      </c>
    </row>
    <row r="352" spans="1:3" x14ac:dyDescent="0.3">
      <c r="A352" s="24">
        <v>43160</v>
      </c>
      <c r="B352" s="29">
        <v>10</v>
      </c>
      <c r="C352" s="26">
        <v>73140</v>
      </c>
    </row>
    <row r="353" spans="1:3" x14ac:dyDescent="0.3">
      <c r="A353" s="24">
        <v>43191</v>
      </c>
      <c r="B353" s="29">
        <v>10</v>
      </c>
      <c r="C353" s="26">
        <v>78400</v>
      </c>
    </row>
    <row r="354" spans="1:3" x14ac:dyDescent="0.3">
      <c r="A354" s="24">
        <v>43221</v>
      </c>
      <c r="B354" s="29">
        <v>10</v>
      </c>
      <c r="C354" s="26">
        <v>98770</v>
      </c>
    </row>
    <row r="355" spans="1:3" x14ac:dyDescent="0.3">
      <c r="A355" s="24">
        <v>43252</v>
      </c>
      <c r="B355" s="29">
        <v>10</v>
      </c>
      <c r="C355" s="26">
        <v>76560</v>
      </c>
    </row>
    <row r="356" spans="1:3" x14ac:dyDescent="0.3">
      <c r="A356" s="24">
        <v>43282</v>
      </c>
      <c r="B356" s="29">
        <v>10</v>
      </c>
      <c r="C356" s="26">
        <v>68040</v>
      </c>
    </row>
    <row r="357" spans="1:3" x14ac:dyDescent="0.3">
      <c r="A357" s="24">
        <v>43313</v>
      </c>
      <c r="B357" s="29">
        <v>10</v>
      </c>
      <c r="C357" s="26">
        <v>73660</v>
      </c>
    </row>
    <row r="358" spans="1:3" x14ac:dyDescent="0.3">
      <c r="A358" s="24">
        <v>43344</v>
      </c>
      <c r="B358" s="29">
        <v>10</v>
      </c>
      <c r="C358" s="26">
        <v>83830</v>
      </c>
    </row>
    <row r="359" spans="1:3" x14ac:dyDescent="0.3">
      <c r="A359" s="24">
        <v>43374</v>
      </c>
      <c r="B359" s="29">
        <v>10</v>
      </c>
      <c r="C359" s="26">
        <v>66150</v>
      </c>
    </row>
    <row r="360" spans="1:3" x14ac:dyDescent="0.3">
      <c r="A360" s="24">
        <v>43405</v>
      </c>
      <c r="B360" s="29">
        <v>10</v>
      </c>
      <c r="C360" s="26">
        <v>80080</v>
      </c>
    </row>
    <row r="361" spans="1:3" x14ac:dyDescent="0.3">
      <c r="A361" s="24">
        <v>43435</v>
      </c>
      <c r="B361" s="29">
        <v>10</v>
      </c>
      <c r="C361" s="26">
        <v>93479.999999999985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90c37c-0217-4164-9cbd-6fd133978e70" xsi:nil="true"/>
    <lcf76f155ced4ddcb4097134ff3c332f xmlns="a50e8a6d-85f9-4151-bd9c-580381e4a4d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AD93A4EAB6F44B60097BA776D82F6" ma:contentTypeVersion="16" ma:contentTypeDescription="Create a new document." ma:contentTypeScope="" ma:versionID="90bd55a39c39aaf10d4e2133bed0f4d7">
  <xsd:schema xmlns:xsd="http://www.w3.org/2001/XMLSchema" xmlns:xs="http://www.w3.org/2001/XMLSchema" xmlns:p="http://schemas.microsoft.com/office/2006/metadata/properties" xmlns:ns2="5590c37c-0217-4164-9cbd-6fd133978e70" xmlns:ns3="a50e8a6d-85f9-4151-bd9c-580381e4a4df" targetNamespace="http://schemas.microsoft.com/office/2006/metadata/properties" ma:root="true" ma:fieldsID="c7ebe7f69fd44f29756351c841f8aa86" ns2:_="" ns3:_="">
    <xsd:import namespace="5590c37c-0217-4164-9cbd-6fd133978e70"/>
    <xsd:import namespace="a50e8a6d-85f9-4151-bd9c-580381e4a4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0c37c-0217-4164-9cbd-6fd133978e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7ee08a-2421-4183-bc30-b4aa1bf93a2b}" ma:internalName="TaxCatchAll" ma:showField="CatchAllData" ma:web="5590c37c-0217-4164-9cbd-6fd133978e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e8a6d-85f9-4151-bd9c-580381e4a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bfb5e6-1de6-4809-b312-9016f74f6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DCAFB9-719D-4CEC-B1CB-91723913A3B5}">
  <ds:schemaRefs>
    <ds:schemaRef ds:uri="http://schemas.microsoft.com/office/2006/metadata/properties"/>
    <ds:schemaRef ds:uri="http://schemas.microsoft.com/office/infopath/2007/PartnerControls"/>
    <ds:schemaRef ds:uri="5590c37c-0217-4164-9cbd-6fd133978e70"/>
    <ds:schemaRef ds:uri="a50e8a6d-85f9-4151-bd9c-580381e4a4df"/>
  </ds:schemaRefs>
</ds:datastoreItem>
</file>

<file path=customXml/itemProps2.xml><?xml version="1.0" encoding="utf-8"?>
<ds:datastoreItem xmlns:ds="http://schemas.openxmlformats.org/officeDocument/2006/customXml" ds:itemID="{DB5C3E35-06C0-490F-BE2C-86105AB949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DB40E-C59E-4BF6-98EB-E68283A95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90c37c-0217-4164-9cbd-6fd133978e70"/>
    <ds:schemaRef ds:uri="a50e8a6d-85f9-4151-bd9c-580381e4a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План продажів, виручка грн</vt:lpstr>
      <vt:lpstr>План собівартість, грн</vt:lpstr>
      <vt:lpstr>План продажів, виручка грн (2)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</cp:lastModifiedBy>
  <dcterms:created xsi:type="dcterms:W3CDTF">2018-10-22T14:40:33Z</dcterms:created>
  <dcterms:modified xsi:type="dcterms:W3CDTF">2024-08-30T20:28:56Z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0x010100173AD93A4EAB6F44B60097BA776D82F6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